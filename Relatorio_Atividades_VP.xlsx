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pa" sheetId="1" state="visible" r:id="rId3"/>
    <sheet name="Instruções" sheetId="2" state="visible" r:id="rId4"/>
    <sheet name="Dashboard" sheetId="3" state="visible" r:id="rId5"/>
    <sheet name="Atividades" sheetId="4" state="visible" r:id="rId6"/>
    <sheet name="Resumo do Ciclo" sheetId="5" state="visible" r:id="rId7"/>
    <sheet name="Parâmetros" sheetId="6" state="visible" r:id="rId8"/>
  </sheets>
  <definedNames>
    <definedName function="false" hidden="true" localSheetId="3" name="_xlnm._FilterDatabase" vbProcedure="false">Atividades!$B$5:$M$80</definedName>
    <definedName function="false" hidden="false" name="lista_AreaCliente" vbProcedure="false">Parâmetros!$F$5:$F$12</definedName>
    <definedName function="false" hidden="false" name="lista_Pilar" vbProcedure="false">Parâmetros!$D$5:$D$11</definedName>
    <definedName function="false" hidden="false" name="lista_Prioridade" vbProcedure="false">Parâmetros!$C$5:$C$7</definedName>
    <definedName function="false" hidden="false" name="lista_Responsavel" vbProcedure="false">Parâmetros!$E$5:$E$10</definedName>
    <definedName function="false" hidden="false" name="lista_Status" vbProcedure="false">Parâmetros!$B$5:$B$9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<sst xmlns="http://schemas.openxmlformats.org/spreadsheetml/2006/main" count="212" uniqueCount="141">
  <si>
    <t xml:space="preserve">RELATÓRIO DE ATIVIDADES DO TIME</t>
  </si>
  <si>
    <t xml:space="preserve">Segurança da Informação · Processos · Auditoria</t>
  </si>
  <si>
    <t xml:space="preserve">Apresentação Executiva — Ciclo Quinzenal / Mensal</t>
  </si>
  <si>
    <t xml:space="preserve">IDENTIFICAÇÃO DO RELATÓRIO</t>
  </si>
  <si>
    <t xml:space="preserve">SUMÁRIO DO DOCUMENTO</t>
  </si>
  <si>
    <t xml:space="preserve">Período de Referência</t>
  </si>
  <si>
    <t xml:space="preserve">Ex.: 01/05/2026 a 15/05/2026</t>
  </si>
  <si>
    <t xml:space="preserve">1. Instruções</t>
  </si>
  <si>
    <t xml:space="preserve">Como usar e atualizar o relatório</t>
  </si>
  <si>
    <t xml:space="preserve">Tipo de Ciclo</t>
  </si>
  <si>
    <t xml:space="preserve">Quinzenal</t>
  </si>
  <si>
    <t xml:space="preserve">2. Dashboard</t>
  </si>
  <si>
    <t xml:space="preserve">Visão executiva consolidada</t>
  </si>
  <si>
    <t xml:space="preserve">Data de Emissão</t>
  </si>
  <si>
    <t xml:space="preserve">Preencher</t>
  </si>
  <si>
    <t xml:space="preserve">3. Atividades</t>
  </si>
  <si>
    <t xml:space="preserve">Lista detalhada do time</t>
  </si>
  <si>
    <t xml:space="preserve">Responsável</t>
  </si>
  <si>
    <t xml:space="preserve">Marcos — Segurança / Processos / DPO</t>
  </si>
  <si>
    <t xml:space="preserve">4. Resumo do Ciclo</t>
  </si>
  <si>
    <t xml:space="preserve">Narrativa para apresentar ao VP</t>
  </si>
  <si>
    <t xml:space="preserve">Destinatário</t>
  </si>
  <si>
    <t xml:space="preserve">VP</t>
  </si>
  <si>
    <t xml:space="preserve">5. Parâmetros</t>
  </si>
  <si>
    <t xml:space="preserve">Listas suspensas e configurações</t>
  </si>
  <si>
    <t xml:space="preserve">Versão</t>
  </si>
  <si>
    <t xml:space="preserve">1.0</t>
  </si>
  <si>
    <t xml:space="preserve">Documento de uso interno — Spread Tecnologia</t>
  </si>
  <si>
    <t xml:space="preserve">COMO USAR ESTE RELATÓRIO</t>
  </si>
  <si>
    <t xml:space="preserve">1. Defina o período</t>
  </si>
  <si>
    <t xml:space="preserve">Atualize a aba 'Capa' com o período (quinzenal ou mensal) e a data de emissão.</t>
  </si>
  <si>
    <t xml:space="preserve">2. Atualize as Atividades</t>
  </si>
  <si>
    <t xml:space="preserve">Na aba 'Atividades', mantenha o registro vivo de tudo o que o time está fazendo. Use as listas suspensas para Status, Prioridade, Pilar e Responsável. O Dashboard atualiza sozinho.</t>
  </si>
  <si>
    <t xml:space="preserve">3. Revise o Dashboard</t>
  </si>
  <si>
    <t xml:space="preserve">A aba 'Dashboard' consolida os números. Não preencha valores ali — todos vêm de fórmulas.</t>
  </si>
  <si>
    <t xml:space="preserve">4. Escreva o Resumo do Ciclo</t>
  </si>
  <si>
    <t xml:space="preserve">Na aba 'Resumo do Ciclo', preencha os campos narrativos: entregas, atenções, próximos passos e necessidades. É o que o VP lerá com mais atenção.</t>
  </si>
  <si>
    <t xml:space="preserve">5. Apresente ao VP</t>
  </si>
  <si>
    <t xml:space="preserve">Exporte em PDF (Arquivo &gt; Exportar &gt; PDF) ou compartilhe o .xlsx. Sugestão: comece pelo Resumo do Ciclo e use o Dashboard para sustentar os números.</t>
  </si>
  <si>
    <t xml:space="preserve">LEGENDA DE STATUS</t>
  </si>
  <si>
    <t xml:space="preserve">Concluído</t>
  </si>
  <si>
    <t xml:space="preserve">Em andamento</t>
  </si>
  <si>
    <t xml:space="preserve">Atrasado</t>
  </si>
  <si>
    <t xml:space="preserve">Não iniciado</t>
  </si>
  <si>
    <t xml:space="preserve">Bloqueado</t>
  </si>
  <si>
    <t xml:space="preserve">DASHBOARD EXECUTIVO — VISIBILIDADE DAS ATIVIDADES</t>
  </si>
  <si>
    <t xml:space="preserve">Todos os valores são calculados automaticamente a partir da aba 'Atividades'.</t>
  </si>
  <si>
    <t xml:space="preserve">INDICADORES PRINCIPAIS</t>
  </si>
  <si>
    <t xml:space="preserve">Total de Atividades</t>
  </si>
  <si>
    <t xml:space="preserve">Concluídas</t>
  </si>
  <si>
    <t xml:space="preserve">Em Andamento</t>
  </si>
  <si>
    <t xml:space="preserve">Atrasadas</t>
  </si>
  <si>
    <t xml:space="preserve">Alta Prioridade</t>
  </si>
  <si>
    <t xml:space="preserve">% Médio de Conclusão</t>
  </si>
  <si>
    <t xml:space="preserve">ATIVIDADES POR STATUS</t>
  </si>
  <si>
    <t xml:space="preserve">Status</t>
  </si>
  <si>
    <t xml:space="preserve">Quantidade</t>
  </si>
  <si>
    <t xml:space="preserve">% do Total</t>
  </si>
  <si>
    <t xml:space="preserve">TOTAL</t>
  </si>
  <si>
    <t xml:space="preserve">ATIVIDADES POR PILAR</t>
  </si>
  <si>
    <t xml:space="preserve">Pilar</t>
  </si>
  <si>
    <t xml:space="preserve">Segurança da Informação</t>
  </si>
  <si>
    <t xml:space="preserve">Privacidade / LGPD</t>
  </si>
  <si>
    <t xml:space="preserve">ISO 27001</t>
  </si>
  <si>
    <t xml:space="preserve">ISO 9001</t>
  </si>
  <si>
    <t xml:space="preserve">Auditoria Interna</t>
  </si>
  <si>
    <t xml:space="preserve">Processos / Lean</t>
  </si>
  <si>
    <t xml:space="preserve">Conscientização</t>
  </si>
  <si>
    <t xml:space="preserve">DISTRIBUIÇÃO DE CARGA POR RESPONSÁVEL</t>
  </si>
  <si>
    <t xml:space="preserve">Total</t>
  </si>
  <si>
    <t xml:space="preserve">Marcos</t>
  </si>
  <si>
    <t xml:space="preserve">Time de Processos</t>
  </si>
  <si>
    <t xml:space="preserve">Equipe SI</t>
  </si>
  <si>
    <t xml:space="preserve">DPO</t>
  </si>
  <si>
    <t xml:space="preserve">Auditoria</t>
  </si>
  <si>
    <t xml:space="preserve">Externo / Parceiro</t>
  </si>
  <si>
    <t xml:space="preserve">ATIVIDADES DO TIME</t>
  </si>
  <si>
    <t xml:space="preserve">Registro central das atividades do time. É a partir desta aba que o Dashboard e o Resumo do Ciclo são alimentados.</t>
  </si>
  <si>
    <t xml:space="preserve">ID</t>
  </si>
  <si>
    <t xml:space="preserve">Atividade</t>
  </si>
  <si>
    <t xml:space="preserve">Área Cliente</t>
  </si>
  <si>
    <t xml:space="preserve">Prioridade</t>
  </si>
  <si>
    <t xml:space="preserve">Início</t>
  </si>
  <si>
    <t xml:space="preserve">Prazo</t>
  </si>
  <si>
    <t xml:space="preserve">% Concluído</t>
  </si>
  <si>
    <t xml:space="preserve">Entregável / Evidência</t>
  </si>
  <si>
    <t xml:space="preserve">Observações</t>
  </si>
  <si>
    <t xml:space="preserve">AT-001</t>
  </si>
  <si>
    <t xml:space="preserve">Revisão de políticas de acesso lógico</t>
  </si>
  <si>
    <t xml:space="preserve">TI</t>
  </si>
  <si>
    <t xml:space="preserve">Alta</t>
  </si>
  <si>
    <t xml:space="preserve">Documento revisado no SGI</t>
  </si>
  <si>
    <t xml:space="preserve">Alinhada à ISO 27001 A.5.15</t>
  </si>
  <si>
    <t xml:space="preserve">AT-002</t>
  </si>
  <si>
    <t xml:space="preserve">Pipeline N8N — notificação de incidentes</t>
  </si>
  <si>
    <t xml:space="preserve">Fluxo N8N + relatório de testes</t>
  </si>
  <si>
    <t xml:space="preserve">Pendente: encoding UTF-8 e Microsoft 365 node</t>
  </si>
  <si>
    <t xml:space="preserve">AT-003</t>
  </si>
  <si>
    <t xml:space="preserve">Comunicação interna sobre auditoria — MEC</t>
  </si>
  <si>
    <t xml:space="preserve">Todas as áreas</t>
  </si>
  <si>
    <t xml:space="preserve">Média</t>
  </si>
  <si>
    <t xml:space="preserve">Comunicado enviado por e-mail e Teams</t>
  </si>
  <si>
    <t xml:space="preserve">Comunicado enviado a todas as áreas</t>
  </si>
  <si>
    <t xml:space="preserve">AT-004</t>
  </si>
  <si>
    <t xml:space="preserve">Treinamento de conscientização — DPO</t>
  </si>
  <si>
    <t xml:space="preserve">Material e gravação da sessão</t>
  </si>
  <si>
    <t xml:space="preserve">Planejado para o próximo ciclo</t>
  </si>
  <si>
    <t xml:space="preserve">AT-005</t>
  </si>
  <si>
    <t xml:space="preserve">Plano de ação corretiva — NC-12</t>
  </si>
  <si>
    <t xml:space="preserve">Operações</t>
  </si>
  <si>
    <t xml:space="preserve">Plano de ação formalizado</t>
  </si>
  <si>
    <t xml:space="preserve">Aguardando retorno do dono do processo</t>
  </si>
  <si>
    <t xml:space="preserve">AT-006</t>
  </si>
  <si>
    <t xml:space="preserve">Manual SGI integrado — Cláusula 4.1</t>
  </si>
  <si>
    <t xml:space="preserve">Diretoria</t>
  </si>
  <si>
    <t xml:space="preserve">Capítulo 4 do Manual SGI</t>
  </si>
  <si>
    <t xml:space="preserve">Inclui bullet de mudanças climáticas (amend. 2024)</t>
  </si>
  <si>
    <t xml:space="preserve">AT-007</t>
  </si>
  <si>
    <t xml:space="preserve">Coleta de evidências — Anexo A ISO 27001</t>
  </si>
  <si>
    <t xml:space="preserve">Pasta de evidências no SGI</t>
  </si>
  <si>
    <t xml:space="preserve">Foco nos controles do Tema 5 (Organizacionais)</t>
  </si>
  <si>
    <t xml:space="preserve">RESUMO DO CICLO — APRESENTAÇÃO AO VP</t>
  </si>
  <si>
    <t xml:space="preserve">Bloco narrativo do relatório. É a parte que o VP lê com mais atenção. Preencher de forma objetiva, em frases curtas.</t>
  </si>
  <si>
    <t xml:space="preserve">PRINCIPAIS ENTREGAS DO CICLO</t>
  </si>
  <si>
    <t xml:space="preserve">Liste aqui as 3 a 5 principais entregas realizadas no período.
Ex.: Conclusão da revisão de políticas de acesso lógico.
Ex.: Pipeline N8N de notificação de incidentes em fase de homologação.
Ex.: Comunicação interna sobre auditoria MEC enviada a todas as áreas.</t>
  </si>
  <si>
    <t xml:space="preserve">ATIVIDADES EM ANDAMENTO RELEVANTES</t>
  </si>
  <si>
    <t xml:space="preserve">Liste atividades-chave que seguem no ciclo seguinte e mereçam visibilidade do VP.
Ex.: Coleta de evidências do Anexo A da ISO 27001 — 30% concluída.
Ex.: Manual SGI integrado — 50% concluído, foco na Cláusula 4.1.</t>
  </si>
  <si>
    <t xml:space="preserve">PONTOS DE ATENÇÃO</t>
  </si>
  <si>
    <t xml:space="preserve">Liste atrasos, bloqueios ou riscos que precisem de visibilidade.
Ex.: NC-12 atrasada — aguardando retorno do dono do processo há 10 dias.
Ex.: Pipeline N8N — pendências de encoding UTF-8 e integração M365.</t>
  </si>
  <si>
    <t xml:space="preserve">PRÓXIMOS PASSOS</t>
  </si>
  <si>
    <t xml:space="preserve">O que o time vai entregar até o próximo ciclo.
Ex.: Iniciar treinamento de conscientização — DPO.
Ex.: Avançar coleta de evidências do Anexo A para 50%.
Ex.: Fechar comunicado de encerramento da auditoria MEC.</t>
  </si>
  <si>
    <t xml:space="preserve">NECESSIDADES / DECISÕES DO VP</t>
  </si>
  <si>
    <t xml:space="preserve">Tópicos que precisam de aprovação ou direcionamento do VP.
Ex.: Aprovação para contratação de ferramenta de DLP.
Ex.: Alinhamento sobre patrocínio executivo da campanha de conscientização.</t>
  </si>
  <si>
    <t xml:space="preserve">RECONHECIMENTOS</t>
  </si>
  <si>
    <t xml:space="preserve">Destaques individuais ou de equipe que valem ser mencionados.
Ex.: Time de Processos entregou a comunicação MEC dentro do prazo.</t>
  </si>
  <si>
    <t xml:space="preserve">PARÂMETROS E LISTAS</t>
  </si>
  <si>
    <t xml:space="preserve">Baixa</t>
  </si>
  <si>
    <t xml:space="preserve">Financeiro</t>
  </si>
  <si>
    <t xml:space="preserve">RH</t>
  </si>
  <si>
    <t xml:space="preserve">Comercial</t>
  </si>
  <si>
    <t xml:space="preserve">Jurídico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</si>
</sst>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dd/mm/yyyy"/>
    <numFmt numFmtId="168" formatCode="0\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4B1196"/>
      <name val="Calibri"/>
      <family val="0"/>
      <charset val="1"/>
    </font>
    <font>
      <i val="true"/>
      <sz val="14"/>
      <color rgb="FF2E0B5C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4B1196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2E0B5C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2"/>
      <color rgb="FF4B119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2E0B5C"/>
      <name val="Calibri"/>
      <family val="0"/>
      <charset val="1"/>
    </font>
    <font>
      <b val="true"/>
      <sz val="22"/>
      <color rgb="FF4B1196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595959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7400"/>
        <bgColor rgb="FFFF9900"/>
      </patternFill>
    </fill>
    <fill>
      <patternFill patternType="solid">
        <fgColor rgb="FF4B1196"/>
        <bgColor rgb="FF2E0B5C"/>
      </patternFill>
    </fill>
    <fill>
      <patternFill patternType="solid">
        <fgColor rgb="FFF2F2F2"/>
        <bgColor rgb="FFF9F9F9"/>
      </patternFill>
    </fill>
    <fill>
      <patternFill patternType="solid">
        <fgColor rgb="FF70AD47"/>
        <bgColor rgb="FF9BBB59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BFBFBF"/>
        <bgColor rgb="FFD8AAA9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2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name val="Calibri"/>
        <charset val="1"/>
        <family val="0"/>
        <b val="1"/>
        <color rgb="FFFFFFFF"/>
        <sz val="10"/>
      </font>
      <fill>
        <patternFill>
          <bgColor rgb="FF70AD47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FFC000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BFBFBF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4B1196"/>
        </patternFill>
      </fill>
    </dxf>
    <dxf>
      <fill>
        <patternFill patternType="solid">
          <fgColor rgb="FF4B11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D4D57A"/>
          <bgColor rgb="FF000000"/>
        </patternFill>
      </fill>
    </dxf>
    <dxf>
      <fill>
        <patternFill patternType="solid">
          <fgColor rgb="FFEED86E"/>
          <bgColor rgb="FF000000"/>
        </patternFill>
      </fill>
    </dxf>
    <dxf>
      <fill>
        <patternFill patternType="solid">
          <fgColor rgb="FFFCD383"/>
          <bgColor rgb="FF000000"/>
        </patternFill>
      </fill>
    </dxf>
    <dxf>
      <fill>
        <patternFill patternType="solid">
          <fgColor rgb="FFFDD675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ont>
        <name val="Calibri"/>
        <charset val="1"/>
        <family val="0"/>
        <b val="1"/>
        <color rgb="FFC00000"/>
        <sz val="10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2E0B5C"/>
      <rgbColor rgb="FF808000"/>
      <rgbColor rgb="FF800080"/>
      <rgbColor rgb="FF008080"/>
      <rgbColor rgb="FFBFBFBF"/>
      <rgbColor rgb="FF878787"/>
      <rgbColor rgb="FF9999FF"/>
      <rgbColor rgb="FF9F423F"/>
      <rgbColor rgb="FFFFF2CC"/>
      <rgbColor rgb="FFF2F2F2"/>
      <rgbColor rgb="FF4B119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CE4D6"/>
      <rgbColor rgb="FF99CCFF"/>
      <rgbColor rgb="FFD8AAA9"/>
      <rgbColor rgb="FFCC99FF"/>
      <rgbColor rgb="FFF8CBAD"/>
      <rgbColor rgb="FF4F81BD"/>
      <rgbColor rgb="FF4BACC6"/>
      <rgbColor rgb="FF9BBB59"/>
      <rgbColor rgb="FFFFC000"/>
      <rgbColor rgb="FFFF9900"/>
      <rgbColor rgb="FFFF7400"/>
      <rgbColor rgb="FF8064A2"/>
      <rgbColor rgb="FF70AD47"/>
      <rgbColor rgb="FF003366"/>
      <rgbColor rgb="FF339966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Dashboard!$B$14:$B$18</c:f>
              <c:strCache>
                <c:ptCount val="5"/>
                <c:pt idx="0">
                  <c:v>Concluído</c:v>
                </c:pt>
                <c:pt idx="1">
                  <c:v>Em andamento</c:v>
                </c:pt>
                <c:pt idx="2">
                  <c:v>Atrasado</c:v>
                </c:pt>
                <c:pt idx="3">
                  <c:v>Não iniciado</c:v>
                </c:pt>
                <c:pt idx="4">
                  <c:v>Bloqueado</c:v>
                </c:pt>
              </c:strCache>
            </c:strRef>
          </c:cat>
          <c:val>
            <c:numRef>
              <c:f>Dashboard!$C$14:$C$18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Atividades por Pilar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Dashboard!C23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Dashboard!$B$24:$B$30</c:f>
              <c:strCache>
                <c:ptCount val="7"/>
                <c:pt idx="0">
                  <c:v>Segurança da Informação</c:v>
                </c:pt>
                <c:pt idx="1">
                  <c:v>Privacidade / LGPD</c:v>
                </c:pt>
                <c:pt idx="2">
                  <c:v>ISO 27001</c:v>
                </c:pt>
                <c:pt idx="3">
                  <c:v>ISO 9001</c:v>
                </c:pt>
                <c:pt idx="4">
                  <c:v>Auditoria Interna</c:v>
                </c:pt>
                <c:pt idx="5">
                  <c:v>Processos / Lean</c:v>
                </c:pt>
                <c:pt idx="6">
                  <c:v>Conscientização</c:v>
                </c:pt>
              </c:strCache>
            </c:strRef>
          </c:cat>
          <c:val>
            <c:numRef>
              <c:f>Dashboard!$C$24:$C$30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73872110"/>
        <c:axId val="45418965"/>
      </c:barChart>
      <c:catAx>
        <c:axId val="738721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18965"/>
        <c:crosses val="autoZero"/>
        <c:auto val="1"/>
        <c:lblAlgn val="ctr"/>
        <c:lblOffset val="100"/>
        <c:noMultiLvlLbl val="0"/>
      </c:catAx>
      <c:valAx>
        <c:axId val="454189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721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por Responsável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f423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Dashboard!$B$35:$B$40</c:f>
              <c:strCache>
                <c:ptCount val="6"/>
                <c:pt idx="0">
                  <c:v>Marcos</c:v>
                </c:pt>
                <c:pt idx="1">
                  <c:v>Time de Processos</c:v>
                </c:pt>
                <c:pt idx="2">
                  <c:v>Equipe SI</c:v>
                </c:pt>
                <c:pt idx="3">
                  <c:v>DPO</c:v>
                </c:pt>
                <c:pt idx="4">
                  <c:v>Auditoria</c:v>
                </c:pt>
                <c:pt idx="5">
                  <c:v>Externo / Parceiro</c:v>
                </c:pt>
              </c:strCache>
            </c:strRef>
          </c:cat>
          <c:val>
            <c:numRef>
              <c:f>Dashboard!$C$35:$C$40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Dashboard!D34</c:f>
              <c:strCache>
                <c:ptCount val="1"/>
                <c:pt idx="0">
                  <c:v>Em Andamento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Dashboard!$B$35:$B$40</c:f>
              <c:strCache>
                <c:ptCount val="6"/>
                <c:pt idx="0">
                  <c:v>Marcos</c:v>
                </c:pt>
                <c:pt idx="1">
                  <c:v>Time de Processos</c:v>
                </c:pt>
                <c:pt idx="2">
                  <c:v>Equipe SI</c:v>
                </c:pt>
                <c:pt idx="3">
                  <c:v>DPO</c:v>
                </c:pt>
                <c:pt idx="4">
                  <c:v>Auditoria</c:v>
                </c:pt>
                <c:pt idx="5">
                  <c:v>Externo / Parceiro</c:v>
                </c:pt>
              </c:strCache>
            </c:strRef>
          </c:cat>
          <c:val>
            <c:numRef>
              <c:f>Dashboard!$D$35:$D$40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Dashboard!E34</c:f>
              <c:strCache>
                <c:ptCount val="1"/>
                <c:pt idx="0">
                  <c:v>Atrasadas</c:v>
                </c:pt>
              </c:strCache>
            </c:strRef>
          </c:tx>
          <c:spPr>
            <a:solidFill>
              <a:srgbClr val="d8aa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Dashboard!$B$35:$B$40</c:f>
              <c:strCache>
                <c:ptCount val="6"/>
                <c:pt idx="0">
                  <c:v>Marcos</c:v>
                </c:pt>
                <c:pt idx="1">
                  <c:v>Time de Processos</c:v>
                </c:pt>
                <c:pt idx="2">
                  <c:v>Equipe SI</c:v>
                </c:pt>
                <c:pt idx="3">
                  <c:v>DPO</c:v>
                </c:pt>
                <c:pt idx="4">
                  <c:v>Auditoria</c:v>
                </c:pt>
                <c:pt idx="5">
                  <c:v>Externo / Parceiro</c:v>
                </c:pt>
              </c:strCache>
            </c:strRef>
          </c:cat>
          <c:val>
            <c:numRef>
              <c:f>Dashboard!$E$35:$E$40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12625999"/>
        <c:axId val="86086770"/>
      </c:barChart>
      <c:catAx>
        <c:axId val="1262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86770"/>
        <c:crosses val="autoZero"/>
        <c:auto val="1"/>
        <c:lblAlgn val="ctr"/>
        <c:lblOffset val="100"/>
        <c:noMultiLvlLbl val="0"/>
      </c:catAx>
      <c:valAx>
        <c:axId val="86086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259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0</xdr:rowOff>
    </xdr:from>
    <xdr:to>
      <xdr:col>12</xdr:col>
      <xdr:colOff>90360</xdr:colOff>
      <xdr:row>26</xdr:row>
      <xdr:rowOff>22320</xdr:rowOff>
    </xdr:to>
    <xdr:graphicFrame>
      <xdr:nvGraphicFramePr>
        <xdr:cNvPr id="0" name="Chart 1"/>
        <xdr:cNvGraphicFramePr/>
      </xdr:nvGraphicFramePr>
      <xdr:xfrm>
        <a:off x="6766560" y="29052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12</xdr:col>
      <xdr:colOff>810360</xdr:colOff>
      <xdr:row>38</xdr:row>
      <xdr:rowOff>1080</xdr:rowOff>
    </xdr:to>
    <xdr:graphicFrame>
      <xdr:nvGraphicFramePr>
        <xdr:cNvPr id="1" name="Chart 2"/>
        <xdr:cNvGraphicFramePr/>
      </xdr:nvGraphicFramePr>
      <xdr:xfrm>
        <a:off x="6766560" y="48099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0</xdr:rowOff>
    </xdr:from>
    <xdr:to>
      <xdr:col>12</xdr:col>
      <xdr:colOff>810360</xdr:colOff>
      <xdr:row>49</xdr:row>
      <xdr:rowOff>1080</xdr:rowOff>
    </xdr:to>
    <xdr:graphicFrame>
      <xdr:nvGraphicFramePr>
        <xdr:cNvPr id="2" name="Chart 3"/>
        <xdr:cNvGraphicFramePr/>
      </xdr:nvGraphicFramePr>
      <xdr:xfrm>
        <a:off x="6766560" y="69055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9" min="8" style="0" width="16"/>
    <col collapsed="false" customWidth="true" hidden="false" outlineLevel="0" max="10" min="10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6" customFormat="false" ht="37.5" hidden="false" customHeight="true" outlineLevel="0" collapsed="false">
      <c r="B6" s="2" t="s">
        <v>0</v>
      </c>
      <c r="C6" s="2"/>
      <c r="D6" s="2"/>
      <c r="E6" s="2"/>
      <c r="F6" s="2"/>
      <c r="G6" s="2"/>
      <c r="H6" s="2"/>
      <c r="I6" s="2"/>
    </row>
    <row r="7" customFormat="false" ht="21.75" hidden="false" customHeight="true" outlineLevel="0" collapsed="false">
      <c r="B7" s="3" t="s">
        <v>1</v>
      </c>
      <c r="C7" s="3"/>
      <c r="D7" s="3"/>
      <c r="E7" s="3"/>
      <c r="F7" s="3"/>
      <c r="G7" s="3"/>
      <c r="H7" s="3"/>
      <c r="I7" s="3"/>
    </row>
    <row r="9" customFormat="false" ht="15" hidden="false" customHeight="false" outlineLevel="0" collapsed="false">
      <c r="B9" s="4" t="s">
        <v>2</v>
      </c>
      <c r="C9" s="4"/>
      <c r="D9" s="4"/>
      <c r="E9" s="4"/>
      <c r="F9" s="4"/>
      <c r="G9" s="4"/>
      <c r="H9" s="4"/>
      <c r="I9" s="4"/>
    </row>
    <row r="12" customFormat="false" ht="15" hidden="false" customHeight="true" outlineLevel="0" collapsed="false">
      <c r="B12" s="5" t="s">
        <v>3</v>
      </c>
      <c r="C12" s="5"/>
      <c r="D12" s="5"/>
      <c r="F12" s="5" t="s">
        <v>4</v>
      </c>
      <c r="G12" s="5"/>
      <c r="H12" s="5"/>
      <c r="I12" s="5"/>
    </row>
    <row r="13" customFormat="false" ht="15" hidden="false" customHeight="false" outlineLevel="0" collapsed="false">
      <c r="B13" s="6" t="s">
        <v>5</v>
      </c>
      <c r="C13" s="7" t="s">
        <v>6</v>
      </c>
      <c r="D13" s="7"/>
      <c r="F13" s="6" t="s">
        <v>7</v>
      </c>
      <c r="G13" s="7" t="s">
        <v>8</v>
      </c>
      <c r="H13" s="7"/>
      <c r="I13" s="7"/>
    </row>
    <row r="14" customFormat="false" ht="15" hidden="false" customHeight="false" outlineLevel="0" collapsed="false">
      <c r="B14" s="6" t="s">
        <v>9</v>
      </c>
      <c r="C14" s="7" t="s">
        <v>10</v>
      </c>
      <c r="D14" s="7"/>
      <c r="F14" s="6" t="s">
        <v>11</v>
      </c>
      <c r="G14" s="7" t="s">
        <v>12</v>
      </c>
      <c r="H14" s="7"/>
      <c r="I14" s="7"/>
    </row>
    <row r="15" customFormat="false" ht="15" hidden="false" customHeight="false" outlineLevel="0" collapsed="false">
      <c r="B15" s="6" t="s">
        <v>13</v>
      </c>
      <c r="C15" s="7" t="s">
        <v>14</v>
      </c>
      <c r="D15" s="7"/>
      <c r="F15" s="6" t="s">
        <v>15</v>
      </c>
      <c r="G15" s="7" t="s">
        <v>16</v>
      </c>
      <c r="H15" s="7"/>
      <c r="I15" s="7"/>
    </row>
    <row r="16" customFormat="false" ht="15" hidden="false" customHeight="false" outlineLevel="0" collapsed="false">
      <c r="B16" s="6" t="s">
        <v>17</v>
      </c>
      <c r="C16" s="7" t="s">
        <v>18</v>
      </c>
      <c r="D16" s="7"/>
      <c r="F16" s="6" t="s">
        <v>19</v>
      </c>
      <c r="G16" s="7" t="s">
        <v>20</v>
      </c>
      <c r="H16" s="7"/>
      <c r="I16" s="7"/>
    </row>
    <row r="17" customFormat="false" ht="15" hidden="false" customHeight="false" outlineLevel="0" collapsed="false">
      <c r="B17" s="6" t="s">
        <v>21</v>
      </c>
      <c r="C17" s="7" t="s">
        <v>22</v>
      </c>
      <c r="D17" s="7"/>
      <c r="F17" s="6" t="s">
        <v>23</v>
      </c>
      <c r="G17" s="7" t="s">
        <v>24</v>
      </c>
      <c r="H17" s="7"/>
      <c r="I17" s="7"/>
    </row>
    <row r="18" customFormat="false" ht="15" hidden="false" customHeight="false" outlineLevel="0" collapsed="false">
      <c r="B18" s="6" t="s">
        <v>25</v>
      </c>
      <c r="C18" s="7" t="s">
        <v>26</v>
      </c>
      <c r="D18" s="7"/>
    </row>
    <row r="21" customFormat="false" ht="15" hidden="false" customHeight="false" outlineLevel="0" collapsed="false">
      <c r="B21" s="8" t="s">
        <v>27</v>
      </c>
      <c r="C21" s="8"/>
      <c r="D21" s="8"/>
      <c r="E21" s="8"/>
      <c r="F21" s="8"/>
      <c r="G21" s="8"/>
      <c r="H21" s="8"/>
      <c r="I21" s="8"/>
    </row>
  </sheetData>
  <mergeCells count="17">
    <mergeCell ref="B6:I6"/>
    <mergeCell ref="B7:I7"/>
    <mergeCell ref="B9:I9"/>
    <mergeCell ref="B12:D12"/>
    <mergeCell ref="F12:I12"/>
    <mergeCell ref="C13:D13"/>
    <mergeCell ref="G13:I13"/>
    <mergeCell ref="C14:D14"/>
    <mergeCell ref="G14:I14"/>
    <mergeCell ref="C15:D15"/>
    <mergeCell ref="G15:I15"/>
    <mergeCell ref="C16:D16"/>
    <mergeCell ref="G16:I16"/>
    <mergeCell ref="C17:D17"/>
    <mergeCell ref="G17:I17"/>
    <mergeCell ref="C18:D18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8" min="3" style="0" width="18"/>
    <col collapsed="false" customWidth="true" hidden="false" outlineLevel="0" max="9" min="9" style="0" width="2"/>
  </cols>
  <sheetData>
    <row r="2" customFormat="false" ht="36" hidden="false" customHeight="true" outlineLevel="0" collapsed="false">
      <c r="B2" s="9" t="s">
        <v>28</v>
      </c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B4" s="10" t="s">
        <v>29</v>
      </c>
      <c r="C4" s="10"/>
      <c r="D4" s="10"/>
      <c r="E4" s="10"/>
      <c r="F4" s="10"/>
      <c r="G4" s="10"/>
      <c r="H4" s="10"/>
    </row>
    <row r="5" customFormat="false" ht="33.75" hidden="false" customHeight="true" outlineLevel="0" collapsed="false">
      <c r="B5" s="11" t="s">
        <v>30</v>
      </c>
      <c r="C5" s="11"/>
      <c r="D5" s="11"/>
      <c r="E5" s="11"/>
      <c r="F5" s="11"/>
      <c r="G5" s="11"/>
      <c r="H5" s="11"/>
    </row>
    <row r="7" customFormat="false" ht="15" hidden="false" customHeight="false" outlineLevel="0" collapsed="false">
      <c r="B7" s="10" t="s">
        <v>31</v>
      </c>
      <c r="C7" s="10"/>
      <c r="D7" s="10"/>
      <c r="E7" s="10"/>
      <c r="F7" s="10"/>
      <c r="G7" s="10"/>
      <c r="H7" s="10"/>
    </row>
    <row r="8" customFormat="false" ht="33.75" hidden="false" customHeight="true" outlineLevel="0" collapsed="false">
      <c r="B8" s="11" t="s">
        <v>32</v>
      </c>
      <c r="C8" s="11"/>
      <c r="D8" s="11"/>
      <c r="E8" s="11"/>
      <c r="F8" s="11"/>
      <c r="G8" s="11"/>
      <c r="H8" s="11"/>
    </row>
    <row r="10" customFormat="false" ht="15" hidden="false" customHeight="false" outlineLevel="0" collapsed="false">
      <c r="B10" s="10" t="s">
        <v>33</v>
      </c>
      <c r="C10" s="10"/>
      <c r="D10" s="10"/>
      <c r="E10" s="10"/>
      <c r="F10" s="10"/>
      <c r="G10" s="10"/>
      <c r="H10" s="10"/>
    </row>
    <row r="11" customFormat="false" ht="33.75" hidden="false" customHeight="true" outlineLevel="0" collapsed="false">
      <c r="B11" s="11" t="s">
        <v>34</v>
      </c>
      <c r="C11" s="11"/>
      <c r="D11" s="11"/>
      <c r="E11" s="11"/>
      <c r="F11" s="11"/>
      <c r="G11" s="11"/>
      <c r="H11" s="11"/>
    </row>
    <row r="13" customFormat="false" ht="15" hidden="false" customHeight="false" outlineLevel="0" collapsed="false">
      <c r="B13" s="10" t="s">
        <v>35</v>
      </c>
      <c r="C13" s="10"/>
      <c r="D13" s="10"/>
      <c r="E13" s="10"/>
      <c r="F13" s="10"/>
      <c r="G13" s="10"/>
      <c r="H13" s="10"/>
    </row>
    <row r="14" customFormat="false" ht="33.75" hidden="false" customHeight="true" outlineLevel="0" collapsed="false">
      <c r="B14" s="11" t="s">
        <v>36</v>
      </c>
      <c r="C14" s="11"/>
      <c r="D14" s="11"/>
      <c r="E14" s="11"/>
      <c r="F14" s="11"/>
      <c r="G14" s="11"/>
      <c r="H14" s="11"/>
    </row>
    <row r="16" customFormat="false" ht="15" hidden="false" customHeight="false" outlineLevel="0" collapsed="false">
      <c r="B16" s="10" t="s">
        <v>37</v>
      </c>
      <c r="C16" s="10"/>
      <c r="D16" s="10"/>
      <c r="E16" s="10"/>
      <c r="F16" s="10"/>
      <c r="G16" s="10"/>
      <c r="H16" s="10"/>
    </row>
    <row r="17" customFormat="false" ht="33.75" hidden="false" customHeight="true" outlineLevel="0" collapsed="false">
      <c r="B17" s="11" t="s">
        <v>38</v>
      </c>
      <c r="C17" s="11"/>
      <c r="D17" s="11"/>
      <c r="E17" s="11"/>
      <c r="F17" s="11"/>
      <c r="G17" s="11"/>
      <c r="H17" s="11"/>
    </row>
    <row r="19" customFormat="false" ht="15" hidden="false" customHeight="false" outlineLevel="0" collapsed="false">
      <c r="B19" s="10" t="s">
        <v>39</v>
      </c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B20" s="12" t="s">
        <v>40</v>
      </c>
      <c r="C20" s="12"/>
    </row>
    <row r="21" customFormat="false" ht="15" hidden="false" customHeight="false" outlineLevel="0" collapsed="false">
      <c r="B21" s="13" t="s">
        <v>41</v>
      </c>
      <c r="C21" s="13"/>
    </row>
    <row r="22" customFormat="false" ht="15" hidden="false" customHeight="false" outlineLevel="0" collapsed="false">
      <c r="B22" s="14" t="s">
        <v>42</v>
      </c>
      <c r="C22" s="14"/>
    </row>
    <row r="23" customFormat="false" ht="15" hidden="false" customHeight="false" outlineLevel="0" collapsed="false">
      <c r="B23" s="15" t="s">
        <v>43</v>
      </c>
      <c r="C23" s="15"/>
    </row>
    <row r="24" customFormat="false" ht="15" hidden="false" customHeight="false" outlineLevel="0" collapsed="false">
      <c r="B24" s="16" t="s">
        <v>44</v>
      </c>
      <c r="C24" s="16"/>
    </row>
  </sheetData>
  <mergeCells count="17">
    <mergeCell ref="B2:H2"/>
    <mergeCell ref="B4:H4"/>
    <mergeCell ref="B5:H5"/>
    <mergeCell ref="B7:H7"/>
    <mergeCell ref="B8:H8"/>
    <mergeCell ref="B10:H10"/>
    <mergeCell ref="B11:H11"/>
    <mergeCell ref="B13:H13"/>
    <mergeCell ref="B14:H14"/>
    <mergeCell ref="B16:H16"/>
    <mergeCell ref="B17:H17"/>
    <mergeCell ref="B19:H19"/>
    <mergeCell ref="B20:C20"/>
    <mergeCell ref="B21:C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  <col collapsed="false" customWidth="true" hidden="false" outlineLevel="0" max="14" min="8" style="0" width="12"/>
    <col collapsed="false" customWidth="true" hidden="false" outlineLevel="0" max="15" min="15" style="0" width="2"/>
  </cols>
  <sheetData>
    <row r="2" customFormat="false" ht="39.75" hidden="false" customHeight="true" outlineLevel="0" collapsed="false">
      <c r="B2" s="9" t="s">
        <v>45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21.75" hidden="false" customHeight="true" outlineLevel="0" collapsed="false">
      <c r="B3" s="17" t="s">
        <v>46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customFormat="false" ht="15" hidden="false" customHeight="false" outlineLevel="0" collapsed="false">
      <c r="B5" s="10" t="s">
        <v>47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7" customFormat="false" ht="21.75" hidden="false" customHeight="true" outlineLevel="0" collapsed="false">
      <c r="B7" s="18" t="s">
        <v>48</v>
      </c>
      <c r="C7" s="18"/>
      <c r="D7" s="18" t="s">
        <v>49</v>
      </c>
      <c r="E7" s="18"/>
      <c r="F7" s="18" t="s">
        <v>50</v>
      </c>
      <c r="G7" s="18"/>
      <c r="H7" s="18" t="s">
        <v>51</v>
      </c>
      <c r="I7" s="18"/>
      <c r="J7" s="18" t="s">
        <v>52</v>
      </c>
      <c r="K7" s="18"/>
      <c r="L7" s="18" t="s">
        <v>53</v>
      </c>
      <c r="M7" s="18"/>
    </row>
    <row r="8" customFormat="false" ht="27.75" hidden="false" customHeight="true" outlineLevel="0" collapsed="false">
      <c r="B8" s="19" t="n">
        <f aca="false">COUNTA(Atividades!B6:B80)</f>
        <v>7</v>
      </c>
      <c r="C8" s="19"/>
      <c r="D8" s="20" t="n">
        <f aca="false">COUNTIF(Atividades!H6:H80,"Concluído")</f>
        <v>1</v>
      </c>
      <c r="E8" s="20"/>
      <c r="F8" s="21" t="n">
        <f aca="false">COUNTIF(Atividades!H6:H80,"Em andamento")</f>
        <v>4</v>
      </c>
      <c r="G8" s="21"/>
      <c r="H8" s="22" t="n">
        <f aca="false">COUNTIF(Atividades!H6:H80,"Atrasado")</f>
        <v>1</v>
      </c>
      <c r="I8" s="22"/>
      <c r="J8" s="22" t="n">
        <f aca="false">COUNTIFS(Atividades!G6:G80,"Alta",Atividades!H6:H80,"&lt;&gt;Concluído")</f>
        <v>4</v>
      </c>
      <c r="K8" s="22"/>
      <c r="L8" s="23" t="n">
        <f aca="false">IFERROR(AVERAGE(Atividades!K6:K80)/100,0)</f>
        <v>0.507142857142857</v>
      </c>
      <c r="M8" s="23"/>
    </row>
    <row r="9" customFormat="false" ht="27.75" hidden="false" customHeight="true" outlineLevel="0" collapsed="false">
      <c r="B9" s="19"/>
      <c r="C9" s="19"/>
      <c r="D9" s="20"/>
      <c r="E9" s="20"/>
      <c r="F9" s="21"/>
      <c r="G9" s="21"/>
      <c r="H9" s="22"/>
      <c r="I9" s="22"/>
      <c r="J9" s="22"/>
      <c r="K9" s="22"/>
      <c r="L9" s="23"/>
      <c r="M9" s="23"/>
    </row>
    <row r="12" customFormat="false" ht="15" hidden="false" customHeight="false" outlineLevel="0" collapsed="false">
      <c r="B12" s="10" t="s">
        <v>54</v>
      </c>
      <c r="C12" s="10"/>
      <c r="D12" s="10"/>
      <c r="E12" s="10"/>
      <c r="F12" s="10"/>
      <c r="G12" s="10"/>
    </row>
    <row r="13" customFormat="false" ht="15" hidden="false" customHeight="false" outlineLevel="0" collapsed="false">
      <c r="B13" s="24" t="s">
        <v>55</v>
      </c>
      <c r="C13" s="24" t="s">
        <v>56</v>
      </c>
      <c r="D13" s="24" t="s">
        <v>57</v>
      </c>
    </row>
    <row r="14" customFormat="false" ht="15" hidden="false" customHeight="false" outlineLevel="0" collapsed="false">
      <c r="B14" s="25" t="s">
        <v>40</v>
      </c>
      <c r="C14" s="26" t="n">
        <f aca="false">COUNTIF(Atividades!H6:H80,B14)</f>
        <v>1</v>
      </c>
      <c r="D14" s="27" t="n">
        <f aca="false">IFERROR(C14/SUM($C$14:$C$18),0)</f>
        <v>0.142857142857143</v>
      </c>
    </row>
    <row r="15" customFormat="false" ht="15" hidden="false" customHeight="false" outlineLevel="0" collapsed="false">
      <c r="B15" s="25" t="s">
        <v>41</v>
      </c>
      <c r="C15" s="26" t="n">
        <f aca="false">COUNTIF(Atividades!H6:H80,B15)</f>
        <v>4</v>
      </c>
      <c r="D15" s="27" t="n">
        <f aca="false">IFERROR(C15/SUM($C$14:$C$18),0)</f>
        <v>0.571428571428571</v>
      </c>
    </row>
    <row r="16" customFormat="false" ht="15" hidden="false" customHeight="false" outlineLevel="0" collapsed="false">
      <c r="B16" s="25" t="s">
        <v>42</v>
      </c>
      <c r="C16" s="26" t="n">
        <f aca="false">COUNTIF(Atividades!H6:H80,B16)</f>
        <v>1</v>
      </c>
      <c r="D16" s="27" t="n">
        <f aca="false">IFERROR(C16/SUM($C$14:$C$18),0)</f>
        <v>0.142857142857143</v>
      </c>
    </row>
    <row r="17" customFormat="false" ht="15" hidden="false" customHeight="false" outlineLevel="0" collapsed="false">
      <c r="B17" s="25" t="s">
        <v>43</v>
      </c>
      <c r="C17" s="26" t="n">
        <f aca="false">COUNTIF(Atividades!H6:H80,B17)</f>
        <v>1</v>
      </c>
      <c r="D17" s="27" t="n">
        <f aca="false">IFERROR(C17/SUM($C$14:$C$18),0)</f>
        <v>0.142857142857143</v>
      </c>
    </row>
    <row r="18" customFormat="false" ht="15" hidden="false" customHeight="false" outlineLevel="0" collapsed="false">
      <c r="B18" s="25" t="s">
        <v>44</v>
      </c>
      <c r="C18" s="26" t="n">
        <f aca="false">COUNTIF(Atividades!H6:H80,B18)</f>
        <v>0</v>
      </c>
      <c r="D18" s="27" t="n">
        <f aca="false">IFERROR(C18/SUM($C$14:$C$18),0)</f>
        <v>0</v>
      </c>
    </row>
    <row r="19" customFormat="false" ht="15" hidden="false" customHeight="false" outlineLevel="0" collapsed="false">
      <c r="B19" s="16" t="s">
        <v>58</v>
      </c>
      <c r="C19" s="16" t="n">
        <f aca="false">SUM(C14:C18)</f>
        <v>7</v>
      </c>
      <c r="D19" s="28" t="n">
        <f aca="false">SUM(D14:D18)</f>
        <v>1</v>
      </c>
    </row>
    <row r="22" customFormat="false" ht="15" hidden="false" customHeight="false" outlineLevel="0" collapsed="false">
      <c r="B22" s="10" t="s">
        <v>59</v>
      </c>
      <c r="C22" s="10"/>
      <c r="D22" s="10"/>
      <c r="E22" s="10"/>
      <c r="F22" s="10"/>
      <c r="G22" s="10"/>
    </row>
    <row r="23" customFormat="false" ht="15" hidden="false" customHeight="false" outlineLevel="0" collapsed="false">
      <c r="B23" s="24" t="s">
        <v>60</v>
      </c>
      <c r="C23" s="24" t="s">
        <v>56</v>
      </c>
      <c r="D23" s="24" t="s">
        <v>57</v>
      </c>
    </row>
    <row r="24" customFormat="false" ht="15" hidden="false" customHeight="false" outlineLevel="0" collapsed="false">
      <c r="B24" s="29" t="s">
        <v>61</v>
      </c>
      <c r="C24" s="26" t="n">
        <f aca="false">COUNTIF(Atividades!D6:D80,B24)</f>
        <v>2</v>
      </c>
      <c r="D24" s="27" t="n">
        <f aca="false">IFERROR(C24/SUM($C$24:$C$30),0)</f>
        <v>0.285714285714286</v>
      </c>
    </row>
    <row r="25" customFormat="false" ht="15" hidden="false" customHeight="false" outlineLevel="0" collapsed="false">
      <c r="B25" s="29" t="s">
        <v>62</v>
      </c>
      <c r="C25" s="26" t="n">
        <f aca="false">COUNTIF(Atividades!D6:D80,B25)</f>
        <v>0</v>
      </c>
      <c r="D25" s="27" t="n">
        <f aca="false">IFERROR(C25/SUM($C$24:$C$30),0)</f>
        <v>0</v>
      </c>
    </row>
    <row r="26" customFormat="false" ht="15" hidden="false" customHeight="false" outlineLevel="0" collapsed="false">
      <c r="B26" s="29" t="s">
        <v>63</v>
      </c>
      <c r="C26" s="26" t="n">
        <f aca="false">COUNTIF(Atividades!D6:D80,B26)</f>
        <v>1</v>
      </c>
      <c r="D26" s="27" t="n">
        <f aca="false">IFERROR(C26/SUM($C$24:$C$30),0)</f>
        <v>0.142857142857143</v>
      </c>
    </row>
    <row r="27" customFormat="false" ht="15" hidden="false" customHeight="false" outlineLevel="0" collapsed="false">
      <c r="B27" s="29" t="s">
        <v>64</v>
      </c>
      <c r="C27" s="26" t="n">
        <f aca="false">COUNTIF(Atividades!D6:D80,B27)</f>
        <v>1</v>
      </c>
      <c r="D27" s="27" t="n">
        <f aca="false">IFERROR(C27/SUM($C$24:$C$30),0)</f>
        <v>0.142857142857143</v>
      </c>
    </row>
    <row r="28" customFormat="false" ht="15" hidden="false" customHeight="false" outlineLevel="0" collapsed="false">
      <c r="B28" s="29" t="s">
        <v>65</v>
      </c>
      <c r="C28" s="26" t="n">
        <f aca="false">COUNTIF(Atividades!D6:D80,B28)</f>
        <v>1</v>
      </c>
      <c r="D28" s="27" t="n">
        <f aca="false">IFERROR(C28/SUM($C$24:$C$30),0)</f>
        <v>0.142857142857143</v>
      </c>
    </row>
    <row r="29" customFormat="false" ht="15" hidden="false" customHeight="false" outlineLevel="0" collapsed="false">
      <c r="B29" s="29" t="s">
        <v>66</v>
      </c>
      <c r="C29" s="26" t="n">
        <f aca="false">COUNTIF(Atividades!D6:D80,B29)</f>
        <v>1</v>
      </c>
      <c r="D29" s="27" t="n">
        <f aca="false">IFERROR(C29/SUM($C$24:$C$30),0)</f>
        <v>0.142857142857143</v>
      </c>
    </row>
    <row r="30" customFormat="false" ht="15" hidden="false" customHeight="false" outlineLevel="0" collapsed="false">
      <c r="B30" s="29" t="s">
        <v>67</v>
      </c>
      <c r="C30" s="26" t="n">
        <f aca="false">COUNTIF(Atividades!D6:D80,B30)</f>
        <v>1</v>
      </c>
      <c r="D30" s="27" t="n">
        <f aca="false">IFERROR(C30/SUM($C$24:$C$30),0)</f>
        <v>0.142857142857143</v>
      </c>
    </row>
    <row r="33" customFormat="false" ht="15" hidden="false" customHeight="false" outlineLevel="0" collapsed="false">
      <c r="B33" s="10" t="s">
        <v>68</v>
      </c>
      <c r="C33" s="10"/>
      <c r="D33" s="10"/>
      <c r="E33" s="10"/>
      <c r="F33" s="10"/>
      <c r="G33" s="10"/>
    </row>
    <row r="34" customFormat="false" ht="15" hidden="false" customHeight="false" outlineLevel="0" collapsed="false">
      <c r="B34" s="24" t="s">
        <v>17</v>
      </c>
      <c r="C34" s="24" t="s">
        <v>69</v>
      </c>
      <c r="D34" s="24" t="s">
        <v>50</v>
      </c>
      <c r="E34" s="24" t="s">
        <v>51</v>
      </c>
    </row>
    <row r="35" customFormat="false" ht="15" hidden="false" customHeight="false" outlineLevel="0" collapsed="false">
      <c r="B35" s="29" t="s">
        <v>70</v>
      </c>
      <c r="C35" s="26" t="n">
        <f aca="false">COUNTIF(Atividades!F6:F80,B35)</f>
        <v>5</v>
      </c>
      <c r="D35" s="26" t="n">
        <f aca="false">COUNTIFS(Atividades!F6:F80,B35,Atividades!H6:H80,"Em andamento")</f>
        <v>4</v>
      </c>
      <c r="E35" s="26" t="n">
        <f aca="false">COUNTIFS(Atividades!F6:F80,B35,Atividades!H6:H80,"Atrasado")</f>
        <v>0</v>
      </c>
    </row>
    <row r="36" customFormat="false" ht="15" hidden="false" customHeight="false" outlineLevel="0" collapsed="false">
      <c r="B36" s="29" t="s">
        <v>71</v>
      </c>
      <c r="C36" s="26" t="n">
        <f aca="false">COUNTIF(Atividades!F6:F80,B36)</f>
        <v>2</v>
      </c>
      <c r="D36" s="26" t="n">
        <f aca="false">COUNTIFS(Atividades!F6:F80,B36,Atividades!H6:H80,"Em andamento")</f>
        <v>0</v>
      </c>
      <c r="E36" s="26" t="n">
        <f aca="false">COUNTIFS(Atividades!F6:F80,B36,Atividades!H6:H80,"Atrasado")</f>
        <v>1</v>
      </c>
    </row>
    <row r="37" customFormat="false" ht="15" hidden="false" customHeight="false" outlineLevel="0" collapsed="false">
      <c r="B37" s="29" t="s">
        <v>72</v>
      </c>
      <c r="C37" s="26" t="n">
        <f aca="false">COUNTIF(Atividades!F6:F80,B37)</f>
        <v>0</v>
      </c>
      <c r="D37" s="26" t="n">
        <f aca="false">COUNTIFS(Atividades!F6:F80,B37,Atividades!H6:H80,"Em andamento")</f>
        <v>0</v>
      </c>
      <c r="E37" s="26" t="n">
        <f aca="false">COUNTIFS(Atividades!F6:F80,B37,Atividades!H6:H80,"Atrasado")</f>
        <v>0</v>
      </c>
    </row>
    <row r="38" customFormat="false" ht="15" hidden="false" customHeight="false" outlineLevel="0" collapsed="false">
      <c r="B38" s="29" t="s">
        <v>73</v>
      </c>
      <c r="C38" s="26" t="n">
        <f aca="false">COUNTIF(Atividades!F6:F80,B38)</f>
        <v>0</v>
      </c>
      <c r="D38" s="26" t="n">
        <f aca="false">COUNTIFS(Atividades!F6:F80,B38,Atividades!H6:H80,"Em andamento")</f>
        <v>0</v>
      </c>
      <c r="E38" s="26" t="n">
        <f aca="false">COUNTIFS(Atividades!F6:F80,B38,Atividades!H6:H80,"Atrasado")</f>
        <v>0</v>
      </c>
    </row>
    <row r="39" customFormat="false" ht="15" hidden="false" customHeight="false" outlineLevel="0" collapsed="false">
      <c r="B39" s="29" t="s">
        <v>74</v>
      </c>
      <c r="C39" s="26" t="n">
        <f aca="false">COUNTIF(Atividades!F6:F80,B39)</f>
        <v>0</v>
      </c>
      <c r="D39" s="26" t="n">
        <f aca="false">COUNTIFS(Atividades!F6:F80,B39,Atividades!H6:H80,"Em andamento")</f>
        <v>0</v>
      </c>
      <c r="E39" s="26" t="n">
        <f aca="false">COUNTIFS(Atividades!F6:F80,B39,Atividades!H6:H80,"Atrasado")</f>
        <v>0</v>
      </c>
    </row>
    <row r="40" customFormat="false" ht="15" hidden="false" customHeight="false" outlineLevel="0" collapsed="false">
      <c r="B40" s="29" t="s">
        <v>75</v>
      </c>
      <c r="C40" s="26" t="n">
        <f aca="false">COUNTIF(Atividades!F6:F80,B40)</f>
        <v>0</v>
      </c>
      <c r="D40" s="26" t="n">
        <f aca="false">COUNTIFS(Atividades!F6:F80,B40,Atividades!H6:H80,"Em andamento")</f>
        <v>0</v>
      </c>
      <c r="E40" s="26" t="n">
        <f aca="false">COUNTIFS(Atividades!F6:F80,B40,Atividades!H6:H80,"Atrasado")</f>
        <v>0</v>
      </c>
    </row>
  </sheetData>
  <mergeCells count="18">
    <mergeCell ref="B2:N2"/>
    <mergeCell ref="B3:N3"/>
    <mergeCell ref="B5:N5"/>
    <mergeCell ref="B7:C7"/>
    <mergeCell ref="D7:E7"/>
    <mergeCell ref="F7:G7"/>
    <mergeCell ref="H7:I7"/>
    <mergeCell ref="J7:K7"/>
    <mergeCell ref="L7:M7"/>
    <mergeCell ref="B8:C9"/>
    <mergeCell ref="D8:E9"/>
    <mergeCell ref="F8:G9"/>
    <mergeCell ref="H8:I9"/>
    <mergeCell ref="J8:K9"/>
    <mergeCell ref="L8:M9"/>
    <mergeCell ref="B12:G12"/>
    <mergeCell ref="B22:G22"/>
    <mergeCell ref="B33:G33"/>
  </mergeCells>
  <conditionalFormatting sqref="B14:B18">
    <cfRule type="cellIs" priority="2" operator="equal" aboveAverage="0" equalAverage="0" bottom="0" percent="0" rank="0" text="" dxfId="0">
      <formula>"Concluído"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"Atrasado"</formula>
    </cfRule>
    <cfRule type="cellIs" priority="5" operator="equal" aboveAverage="0" equalAverage="0" bottom="0" percent="0" rank="0" text="" dxfId="3">
      <formula>"Não iniciado"</formula>
    </cfRule>
    <cfRule type="cellIs" priority="6" operator="equal" aboveAverage="0" equalAverage="0" bottom="0" percent="0" rank="0" text="" dxfId="4">
      <formula>"Bloqueado"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1" min="9" style="0" width="12"/>
    <col collapsed="false" customWidth="true" hidden="false" outlineLevel="0" max="12" min="12" style="0" width="32"/>
    <col collapsed="false" customWidth="true" hidden="false" outlineLevel="0" max="13" min="13" style="0" width="36"/>
  </cols>
  <sheetData>
    <row r="2" customFormat="false" ht="36" hidden="false" customHeight="true" outlineLevel="0" collapsed="false">
      <c r="B2" s="9" t="s">
        <v>76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24" hidden="false" customHeight="true" outlineLevel="0" collapsed="false">
      <c r="B3" s="30" t="s">
        <v>77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5" customFormat="false" ht="36" hidden="false" customHeight="true" outlineLevel="0" collapsed="false">
      <c r="B5" s="24" t="s">
        <v>78</v>
      </c>
      <c r="C5" s="24" t="s">
        <v>79</v>
      </c>
      <c r="D5" s="24" t="s">
        <v>60</v>
      </c>
      <c r="E5" s="24" t="s">
        <v>80</v>
      </c>
      <c r="F5" s="24" t="s">
        <v>17</v>
      </c>
      <c r="G5" s="24" t="s">
        <v>81</v>
      </c>
      <c r="H5" s="24" t="s">
        <v>55</v>
      </c>
      <c r="I5" s="24" t="s">
        <v>82</v>
      </c>
      <c r="J5" s="24" t="s">
        <v>83</v>
      </c>
      <c r="K5" s="24" t="s">
        <v>84</v>
      </c>
      <c r="L5" s="24" t="s">
        <v>85</v>
      </c>
      <c r="M5" s="24" t="s">
        <v>86</v>
      </c>
    </row>
    <row r="6" customFormat="false" ht="15" hidden="false" customHeight="false" outlineLevel="0" collapsed="false">
      <c r="B6" s="26" t="s">
        <v>87</v>
      </c>
      <c r="C6" s="29" t="s">
        <v>88</v>
      </c>
      <c r="D6" s="25" t="s">
        <v>61</v>
      </c>
      <c r="E6" s="25" t="s">
        <v>89</v>
      </c>
      <c r="F6" s="25" t="s">
        <v>70</v>
      </c>
      <c r="G6" s="25" t="s">
        <v>90</v>
      </c>
      <c r="H6" s="25" t="s">
        <v>41</v>
      </c>
      <c r="I6" s="31" t="n">
        <v>46146</v>
      </c>
      <c r="J6" s="31" t="n">
        <v>46164</v>
      </c>
      <c r="K6" s="32" t="n">
        <v>60</v>
      </c>
      <c r="L6" s="29" t="s">
        <v>91</v>
      </c>
      <c r="M6" s="29" t="s">
        <v>92</v>
      </c>
    </row>
    <row r="7" customFormat="false" ht="23.85" hidden="false" customHeight="false" outlineLevel="0" collapsed="false">
      <c r="B7" s="26" t="s">
        <v>93</v>
      </c>
      <c r="C7" s="29" t="s">
        <v>94</v>
      </c>
      <c r="D7" s="25" t="s">
        <v>61</v>
      </c>
      <c r="E7" s="25" t="s">
        <v>89</v>
      </c>
      <c r="F7" s="25" t="s">
        <v>70</v>
      </c>
      <c r="G7" s="25" t="s">
        <v>90</v>
      </c>
      <c r="H7" s="25" t="s">
        <v>41</v>
      </c>
      <c r="I7" s="31" t="n">
        <v>46132</v>
      </c>
      <c r="J7" s="31" t="n">
        <v>46178</v>
      </c>
      <c r="K7" s="32" t="n">
        <v>75</v>
      </c>
      <c r="L7" s="29" t="s">
        <v>95</v>
      </c>
      <c r="M7" s="29" t="s">
        <v>96</v>
      </c>
    </row>
    <row r="8" customFormat="false" ht="15" hidden="false" customHeight="false" outlineLevel="0" collapsed="false">
      <c r="B8" s="26" t="s">
        <v>97</v>
      </c>
      <c r="C8" s="29" t="s">
        <v>98</v>
      </c>
      <c r="D8" s="25" t="s">
        <v>65</v>
      </c>
      <c r="E8" s="25" t="s">
        <v>99</v>
      </c>
      <c r="F8" s="25" t="s">
        <v>71</v>
      </c>
      <c r="G8" s="25" t="s">
        <v>100</v>
      </c>
      <c r="H8" s="25" t="s">
        <v>40</v>
      </c>
      <c r="I8" s="31" t="n">
        <v>46148</v>
      </c>
      <c r="J8" s="31" t="n">
        <v>46154</v>
      </c>
      <c r="K8" s="32" t="n">
        <v>100</v>
      </c>
      <c r="L8" s="29" t="s">
        <v>101</v>
      </c>
      <c r="M8" s="29" t="s">
        <v>102</v>
      </c>
    </row>
    <row r="9" customFormat="false" ht="15" hidden="false" customHeight="false" outlineLevel="0" collapsed="false">
      <c r="B9" s="26" t="s">
        <v>103</v>
      </c>
      <c r="C9" s="29" t="s">
        <v>104</v>
      </c>
      <c r="D9" s="25" t="s">
        <v>67</v>
      </c>
      <c r="E9" s="25" t="s">
        <v>99</v>
      </c>
      <c r="F9" s="25" t="s">
        <v>70</v>
      </c>
      <c r="G9" s="25" t="s">
        <v>100</v>
      </c>
      <c r="H9" s="25" t="s">
        <v>43</v>
      </c>
      <c r="I9" s="31" t="n">
        <v>46174</v>
      </c>
      <c r="J9" s="31" t="n">
        <v>46193</v>
      </c>
      <c r="K9" s="32" t="n">
        <v>0</v>
      </c>
      <c r="L9" s="29" t="s">
        <v>105</v>
      </c>
      <c r="M9" s="29" t="s">
        <v>106</v>
      </c>
    </row>
    <row r="10" customFormat="false" ht="15" hidden="false" customHeight="false" outlineLevel="0" collapsed="false">
      <c r="B10" s="26" t="s">
        <v>107</v>
      </c>
      <c r="C10" s="29" t="s">
        <v>108</v>
      </c>
      <c r="D10" s="25" t="s">
        <v>66</v>
      </c>
      <c r="E10" s="25" t="s">
        <v>109</v>
      </c>
      <c r="F10" s="25" t="s">
        <v>71</v>
      </c>
      <c r="G10" s="25" t="s">
        <v>90</v>
      </c>
      <c r="H10" s="25" t="s">
        <v>42</v>
      </c>
      <c r="I10" s="31" t="n">
        <v>46140</v>
      </c>
      <c r="J10" s="31" t="n">
        <v>46157</v>
      </c>
      <c r="K10" s="32" t="n">
        <v>40</v>
      </c>
      <c r="L10" s="29" t="s">
        <v>110</v>
      </c>
      <c r="M10" s="29" t="s">
        <v>111</v>
      </c>
    </row>
    <row r="11" customFormat="false" ht="23.85" hidden="false" customHeight="false" outlineLevel="0" collapsed="false">
      <c r="B11" s="26" t="s">
        <v>112</v>
      </c>
      <c r="C11" s="29" t="s">
        <v>113</v>
      </c>
      <c r="D11" s="25" t="s">
        <v>64</v>
      </c>
      <c r="E11" s="25" t="s">
        <v>114</v>
      </c>
      <c r="F11" s="25" t="s">
        <v>70</v>
      </c>
      <c r="G11" s="25" t="s">
        <v>100</v>
      </c>
      <c r="H11" s="25" t="s">
        <v>41</v>
      </c>
      <c r="I11" s="31" t="n">
        <v>46147</v>
      </c>
      <c r="J11" s="31" t="n">
        <v>46172</v>
      </c>
      <c r="K11" s="32" t="n">
        <v>50</v>
      </c>
      <c r="L11" s="29" t="s">
        <v>115</v>
      </c>
      <c r="M11" s="29" t="s">
        <v>116</v>
      </c>
    </row>
    <row r="12" customFormat="false" ht="23.85" hidden="false" customHeight="false" outlineLevel="0" collapsed="false">
      <c r="B12" s="26" t="s">
        <v>117</v>
      </c>
      <c r="C12" s="29" t="s">
        <v>118</v>
      </c>
      <c r="D12" s="25" t="s">
        <v>63</v>
      </c>
      <c r="E12" s="25" t="s">
        <v>89</v>
      </c>
      <c r="F12" s="25" t="s">
        <v>70</v>
      </c>
      <c r="G12" s="25" t="s">
        <v>90</v>
      </c>
      <c r="H12" s="25" t="s">
        <v>41</v>
      </c>
      <c r="I12" s="31" t="n">
        <v>46143</v>
      </c>
      <c r="J12" s="31" t="n">
        <v>46203</v>
      </c>
      <c r="K12" s="32" t="n">
        <v>30</v>
      </c>
      <c r="L12" s="29" t="s">
        <v>119</v>
      </c>
      <c r="M12" s="29" t="s">
        <v>120</v>
      </c>
    </row>
    <row r="13" customFormat="false" ht="15" hidden="false" customHeight="false" outlineLevel="0" collapsed="false">
      <c r="B13" s="26"/>
      <c r="C13" s="29"/>
      <c r="D13" s="25"/>
      <c r="E13" s="25"/>
      <c r="F13" s="25"/>
      <c r="G13" s="25"/>
      <c r="H13" s="25"/>
      <c r="I13" s="31"/>
      <c r="J13" s="31"/>
      <c r="K13" s="32"/>
      <c r="L13" s="29"/>
      <c r="M13" s="29"/>
    </row>
    <row r="14" customFormat="false" ht="15" hidden="false" customHeight="false" outlineLevel="0" collapsed="false">
      <c r="B14" s="26"/>
      <c r="C14" s="29"/>
      <c r="D14" s="25"/>
      <c r="E14" s="25"/>
      <c r="F14" s="25"/>
      <c r="G14" s="25"/>
      <c r="H14" s="25"/>
      <c r="I14" s="31"/>
      <c r="J14" s="31"/>
      <c r="K14" s="32"/>
      <c r="L14" s="29"/>
      <c r="M14" s="29"/>
    </row>
    <row r="15" customFormat="false" ht="15" hidden="false" customHeight="false" outlineLevel="0" collapsed="false">
      <c r="B15" s="26"/>
      <c r="C15" s="29"/>
      <c r="D15" s="25"/>
      <c r="E15" s="25"/>
      <c r="F15" s="25"/>
      <c r="G15" s="25"/>
      <c r="H15" s="25"/>
      <c r="I15" s="31"/>
      <c r="J15" s="31"/>
      <c r="K15" s="32"/>
      <c r="L15" s="29"/>
      <c r="M15" s="29"/>
    </row>
    <row r="16" customFormat="false" ht="15" hidden="false" customHeight="false" outlineLevel="0" collapsed="false">
      <c r="B16" s="26"/>
      <c r="C16" s="29"/>
      <c r="D16" s="25"/>
      <c r="E16" s="25"/>
      <c r="F16" s="25"/>
      <c r="G16" s="25"/>
      <c r="H16" s="25"/>
      <c r="I16" s="31"/>
      <c r="J16" s="31"/>
      <c r="K16" s="32"/>
      <c r="L16" s="29"/>
      <c r="M16" s="29"/>
    </row>
    <row r="17" customFormat="false" ht="15" hidden="false" customHeight="false" outlineLevel="0" collapsed="false">
      <c r="B17" s="26"/>
      <c r="C17" s="29"/>
      <c r="D17" s="25"/>
      <c r="E17" s="25"/>
      <c r="F17" s="25"/>
      <c r="G17" s="25"/>
      <c r="H17" s="25"/>
      <c r="I17" s="31"/>
      <c r="J17" s="31"/>
      <c r="K17" s="32"/>
      <c r="L17" s="29"/>
      <c r="M17" s="29"/>
    </row>
    <row r="18" customFormat="false" ht="15" hidden="false" customHeight="false" outlineLevel="0" collapsed="false">
      <c r="B18" s="26"/>
      <c r="C18" s="29"/>
      <c r="D18" s="25"/>
      <c r="E18" s="25"/>
      <c r="F18" s="25"/>
      <c r="G18" s="25"/>
      <c r="H18" s="25"/>
      <c r="I18" s="31"/>
      <c r="J18" s="31"/>
      <c r="K18" s="32"/>
      <c r="L18" s="29"/>
      <c r="M18" s="29"/>
    </row>
    <row r="19" customFormat="false" ht="15" hidden="false" customHeight="false" outlineLevel="0" collapsed="false">
      <c r="B19" s="26"/>
      <c r="C19" s="29"/>
      <c r="D19" s="25"/>
      <c r="E19" s="25"/>
      <c r="F19" s="25"/>
      <c r="G19" s="25"/>
      <c r="H19" s="25"/>
      <c r="I19" s="31"/>
      <c r="J19" s="31"/>
      <c r="K19" s="32"/>
      <c r="L19" s="29"/>
      <c r="M19" s="29"/>
    </row>
    <row r="20" customFormat="false" ht="15" hidden="false" customHeight="false" outlineLevel="0" collapsed="false">
      <c r="B20" s="26"/>
      <c r="C20" s="29"/>
      <c r="D20" s="25"/>
      <c r="E20" s="25"/>
      <c r="F20" s="25"/>
      <c r="G20" s="25"/>
      <c r="H20" s="25"/>
      <c r="I20" s="31"/>
      <c r="J20" s="31"/>
      <c r="K20" s="32"/>
      <c r="L20" s="29"/>
      <c r="M20" s="29"/>
    </row>
    <row r="21" customFormat="false" ht="15" hidden="false" customHeight="false" outlineLevel="0" collapsed="false">
      <c r="B21" s="26"/>
      <c r="C21" s="29"/>
      <c r="D21" s="25"/>
      <c r="E21" s="25"/>
      <c r="F21" s="25"/>
      <c r="G21" s="25"/>
      <c r="H21" s="25"/>
      <c r="I21" s="31"/>
      <c r="J21" s="31"/>
      <c r="K21" s="32"/>
      <c r="L21" s="29"/>
      <c r="M21" s="29"/>
    </row>
    <row r="22" customFormat="false" ht="15" hidden="false" customHeight="false" outlineLevel="0" collapsed="false">
      <c r="B22" s="26"/>
      <c r="C22" s="29"/>
      <c r="D22" s="25"/>
      <c r="E22" s="25"/>
      <c r="F22" s="25"/>
      <c r="G22" s="25"/>
      <c r="H22" s="25"/>
      <c r="I22" s="31"/>
      <c r="J22" s="31"/>
      <c r="K22" s="32"/>
      <c r="L22" s="29"/>
      <c r="M22" s="29"/>
    </row>
    <row r="23" customFormat="false" ht="15" hidden="false" customHeight="false" outlineLevel="0" collapsed="false">
      <c r="B23" s="26"/>
      <c r="C23" s="29"/>
      <c r="D23" s="25"/>
      <c r="E23" s="25"/>
      <c r="F23" s="25"/>
      <c r="G23" s="25"/>
      <c r="H23" s="25"/>
      <c r="I23" s="31"/>
      <c r="J23" s="31"/>
      <c r="K23" s="32"/>
      <c r="L23" s="29"/>
      <c r="M23" s="29"/>
    </row>
    <row r="24" customFormat="false" ht="15" hidden="false" customHeight="false" outlineLevel="0" collapsed="false">
      <c r="B24" s="26"/>
      <c r="C24" s="29"/>
      <c r="D24" s="25"/>
      <c r="E24" s="25"/>
      <c r="F24" s="25"/>
      <c r="G24" s="25"/>
      <c r="H24" s="25"/>
      <c r="I24" s="31"/>
      <c r="J24" s="31"/>
      <c r="K24" s="32"/>
      <c r="L24" s="29"/>
      <c r="M24" s="29"/>
    </row>
    <row r="25" customFormat="false" ht="15" hidden="false" customHeight="false" outlineLevel="0" collapsed="false">
      <c r="B25" s="26"/>
      <c r="C25" s="29"/>
      <c r="D25" s="25"/>
      <c r="E25" s="25"/>
      <c r="F25" s="25"/>
      <c r="G25" s="25"/>
      <c r="H25" s="25"/>
      <c r="I25" s="31"/>
      <c r="J25" s="31"/>
      <c r="K25" s="32"/>
      <c r="L25" s="29"/>
      <c r="M25" s="29"/>
    </row>
    <row r="26" customFormat="false" ht="15" hidden="false" customHeight="false" outlineLevel="0" collapsed="false">
      <c r="B26" s="26"/>
      <c r="C26" s="29"/>
      <c r="D26" s="25"/>
      <c r="E26" s="25"/>
      <c r="F26" s="25"/>
      <c r="G26" s="25"/>
      <c r="H26" s="25"/>
      <c r="I26" s="31"/>
      <c r="J26" s="31"/>
      <c r="K26" s="32"/>
      <c r="L26" s="29"/>
      <c r="M26" s="29"/>
    </row>
    <row r="27" customFormat="false" ht="15" hidden="false" customHeight="false" outlineLevel="0" collapsed="false">
      <c r="B27" s="26"/>
      <c r="C27" s="29"/>
      <c r="D27" s="25"/>
      <c r="E27" s="25"/>
      <c r="F27" s="25"/>
      <c r="G27" s="25"/>
      <c r="H27" s="25"/>
      <c r="I27" s="31"/>
      <c r="J27" s="31"/>
      <c r="K27" s="32"/>
      <c r="L27" s="29"/>
      <c r="M27" s="29"/>
    </row>
    <row r="28" customFormat="false" ht="15" hidden="false" customHeight="false" outlineLevel="0" collapsed="false">
      <c r="B28" s="26"/>
      <c r="C28" s="29"/>
      <c r="D28" s="25"/>
      <c r="E28" s="25"/>
      <c r="F28" s="25"/>
      <c r="G28" s="25"/>
      <c r="H28" s="25"/>
      <c r="I28" s="31"/>
      <c r="J28" s="31"/>
      <c r="K28" s="32"/>
      <c r="L28" s="29"/>
      <c r="M28" s="29"/>
    </row>
    <row r="29" customFormat="false" ht="15" hidden="false" customHeight="false" outlineLevel="0" collapsed="false">
      <c r="B29" s="26"/>
      <c r="C29" s="29"/>
      <c r="D29" s="25"/>
      <c r="E29" s="25"/>
      <c r="F29" s="25"/>
      <c r="G29" s="25"/>
      <c r="H29" s="25"/>
      <c r="I29" s="31"/>
      <c r="J29" s="31"/>
      <c r="K29" s="32"/>
      <c r="L29" s="29"/>
      <c r="M29" s="29"/>
    </row>
    <row r="30" customFormat="false" ht="15" hidden="false" customHeight="false" outlineLevel="0" collapsed="false">
      <c r="B30" s="26"/>
      <c r="C30" s="29"/>
      <c r="D30" s="25"/>
      <c r="E30" s="25"/>
      <c r="F30" s="25"/>
      <c r="G30" s="25"/>
      <c r="H30" s="25"/>
      <c r="I30" s="31"/>
      <c r="J30" s="31"/>
      <c r="K30" s="32"/>
      <c r="L30" s="29"/>
      <c r="M30" s="29"/>
    </row>
    <row r="31" customFormat="false" ht="15" hidden="false" customHeight="false" outlineLevel="0" collapsed="false">
      <c r="B31" s="26"/>
      <c r="C31" s="29"/>
      <c r="D31" s="25"/>
      <c r="E31" s="25"/>
      <c r="F31" s="25"/>
      <c r="G31" s="25"/>
      <c r="H31" s="25"/>
      <c r="I31" s="31"/>
      <c r="J31" s="31"/>
      <c r="K31" s="32"/>
      <c r="L31" s="29"/>
      <c r="M31" s="29"/>
    </row>
    <row r="32" customFormat="false" ht="15" hidden="false" customHeight="false" outlineLevel="0" collapsed="false">
      <c r="B32" s="26"/>
      <c r="C32" s="29"/>
      <c r="D32" s="25"/>
      <c r="E32" s="25"/>
      <c r="F32" s="25"/>
      <c r="G32" s="25"/>
      <c r="H32" s="25"/>
      <c r="I32" s="31"/>
      <c r="J32" s="31"/>
      <c r="K32" s="32"/>
      <c r="L32" s="29"/>
      <c r="M32" s="29"/>
    </row>
    <row r="33" customFormat="false" ht="15" hidden="false" customHeight="false" outlineLevel="0" collapsed="false">
      <c r="B33" s="26"/>
      <c r="C33" s="29"/>
      <c r="D33" s="25"/>
      <c r="E33" s="25"/>
      <c r="F33" s="25"/>
      <c r="G33" s="25"/>
      <c r="H33" s="25"/>
      <c r="I33" s="31"/>
      <c r="J33" s="31"/>
      <c r="K33" s="32"/>
      <c r="L33" s="29"/>
      <c r="M33" s="29"/>
    </row>
    <row r="34" customFormat="false" ht="15" hidden="false" customHeight="false" outlineLevel="0" collapsed="false">
      <c r="B34" s="26"/>
      <c r="C34" s="29"/>
      <c r="D34" s="25"/>
      <c r="E34" s="25"/>
      <c r="F34" s="25"/>
      <c r="G34" s="25"/>
      <c r="H34" s="25"/>
      <c r="I34" s="31"/>
      <c r="J34" s="31"/>
      <c r="K34" s="32"/>
      <c r="L34" s="29"/>
      <c r="M34" s="29"/>
    </row>
    <row r="35" customFormat="false" ht="15" hidden="false" customHeight="false" outlineLevel="0" collapsed="false">
      <c r="B35" s="26"/>
      <c r="C35" s="29"/>
      <c r="D35" s="25"/>
      <c r="E35" s="25"/>
      <c r="F35" s="25"/>
      <c r="G35" s="25"/>
      <c r="H35" s="25"/>
      <c r="I35" s="31"/>
      <c r="J35" s="31"/>
      <c r="K35" s="32"/>
      <c r="L35" s="29"/>
      <c r="M35" s="29"/>
    </row>
    <row r="36" customFormat="false" ht="15" hidden="false" customHeight="false" outlineLevel="0" collapsed="false">
      <c r="B36" s="26"/>
      <c r="C36" s="29"/>
      <c r="D36" s="25"/>
      <c r="E36" s="25"/>
      <c r="F36" s="25"/>
      <c r="G36" s="25"/>
      <c r="H36" s="25"/>
      <c r="I36" s="31"/>
      <c r="J36" s="31"/>
      <c r="K36" s="32"/>
      <c r="L36" s="29"/>
      <c r="M36" s="29"/>
    </row>
    <row r="37" customFormat="false" ht="15" hidden="false" customHeight="false" outlineLevel="0" collapsed="false">
      <c r="B37" s="26"/>
      <c r="C37" s="29"/>
      <c r="D37" s="25"/>
      <c r="E37" s="25"/>
      <c r="F37" s="25"/>
      <c r="G37" s="25"/>
      <c r="H37" s="25"/>
      <c r="I37" s="31"/>
      <c r="J37" s="31"/>
      <c r="K37" s="32"/>
      <c r="L37" s="29"/>
      <c r="M37" s="29"/>
    </row>
    <row r="38" customFormat="false" ht="15" hidden="false" customHeight="false" outlineLevel="0" collapsed="false">
      <c r="B38" s="26"/>
      <c r="C38" s="29"/>
      <c r="D38" s="25"/>
      <c r="E38" s="25"/>
      <c r="F38" s="25"/>
      <c r="G38" s="25"/>
      <c r="H38" s="25"/>
      <c r="I38" s="31"/>
      <c r="J38" s="31"/>
      <c r="K38" s="32"/>
      <c r="L38" s="29"/>
      <c r="M38" s="29"/>
    </row>
    <row r="39" customFormat="false" ht="15" hidden="false" customHeight="false" outlineLevel="0" collapsed="false">
      <c r="B39" s="26"/>
      <c r="C39" s="29"/>
      <c r="D39" s="25"/>
      <c r="E39" s="25"/>
      <c r="F39" s="25"/>
      <c r="G39" s="25"/>
      <c r="H39" s="25"/>
      <c r="I39" s="31"/>
      <c r="J39" s="31"/>
      <c r="K39" s="32"/>
      <c r="L39" s="29"/>
      <c r="M39" s="29"/>
    </row>
    <row r="40" customFormat="false" ht="15" hidden="false" customHeight="false" outlineLevel="0" collapsed="false">
      <c r="B40" s="26"/>
      <c r="C40" s="29"/>
      <c r="D40" s="25"/>
      <c r="E40" s="25"/>
      <c r="F40" s="25"/>
      <c r="G40" s="25"/>
      <c r="H40" s="25"/>
      <c r="I40" s="31"/>
      <c r="J40" s="31"/>
      <c r="K40" s="32"/>
      <c r="L40" s="29"/>
      <c r="M40" s="29"/>
    </row>
    <row r="41" customFormat="false" ht="15" hidden="false" customHeight="false" outlineLevel="0" collapsed="false">
      <c r="B41" s="26"/>
      <c r="C41" s="29"/>
      <c r="D41" s="25"/>
      <c r="E41" s="25"/>
      <c r="F41" s="25"/>
      <c r="G41" s="25"/>
      <c r="H41" s="25"/>
      <c r="I41" s="31"/>
      <c r="J41" s="31"/>
      <c r="K41" s="32"/>
      <c r="L41" s="29"/>
      <c r="M41" s="29"/>
    </row>
    <row r="42" customFormat="false" ht="15" hidden="false" customHeight="false" outlineLevel="0" collapsed="false">
      <c r="B42" s="26"/>
      <c r="C42" s="29"/>
      <c r="D42" s="25"/>
      <c r="E42" s="25"/>
      <c r="F42" s="25"/>
      <c r="G42" s="25"/>
      <c r="H42" s="25"/>
      <c r="I42" s="31"/>
      <c r="J42" s="31"/>
      <c r="K42" s="32"/>
      <c r="L42" s="29"/>
      <c r="M42" s="29"/>
    </row>
    <row r="43" customFormat="false" ht="15" hidden="false" customHeight="false" outlineLevel="0" collapsed="false">
      <c r="B43" s="26"/>
      <c r="C43" s="29"/>
      <c r="D43" s="25"/>
      <c r="E43" s="25"/>
      <c r="F43" s="25"/>
      <c r="G43" s="25"/>
      <c r="H43" s="25"/>
      <c r="I43" s="31"/>
      <c r="J43" s="31"/>
      <c r="K43" s="32"/>
      <c r="L43" s="29"/>
      <c r="M43" s="29"/>
    </row>
    <row r="44" customFormat="false" ht="15" hidden="false" customHeight="false" outlineLevel="0" collapsed="false">
      <c r="B44" s="26"/>
      <c r="C44" s="29"/>
      <c r="D44" s="25"/>
      <c r="E44" s="25"/>
      <c r="F44" s="25"/>
      <c r="G44" s="25"/>
      <c r="H44" s="25"/>
      <c r="I44" s="31"/>
      <c r="J44" s="31"/>
      <c r="K44" s="32"/>
      <c r="L44" s="29"/>
      <c r="M44" s="29"/>
    </row>
    <row r="45" customFormat="false" ht="15" hidden="false" customHeight="false" outlineLevel="0" collapsed="false">
      <c r="B45" s="26"/>
      <c r="C45" s="29"/>
      <c r="D45" s="25"/>
      <c r="E45" s="25"/>
      <c r="F45" s="25"/>
      <c r="G45" s="25"/>
      <c r="H45" s="25"/>
      <c r="I45" s="31"/>
      <c r="J45" s="31"/>
      <c r="K45" s="32"/>
      <c r="L45" s="29"/>
      <c r="M45" s="29"/>
    </row>
    <row r="46" customFormat="false" ht="15" hidden="false" customHeight="false" outlineLevel="0" collapsed="false">
      <c r="B46" s="26"/>
      <c r="C46" s="29"/>
      <c r="D46" s="25"/>
      <c r="E46" s="25"/>
      <c r="F46" s="25"/>
      <c r="G46" s="25"/>
      <c r="H46" s="25"/>
      <c r="I46" s="31"/>
      <c r="J46" s="31"/>
      <c r="K46" s="32"/>
      <c r="L46" s="29"/>
      <c r="M46" s="29"/>
    </row>
    <row r="47" customFormat="false" ht="15" hidden="false" customHeight="false" outlineLevel="0" collapsed="false">
      <c r="B47" s="26"/>
      <c r="C47" s="29"/>
      <c r="D47" s="25"/>
      <c r="E47" s="25"/>
      <c r="F47" s="25"/>
      <c r="G47" s="25"/>
      <c r="H47" s="25"/>
      <c r="I47" s="31"/>
      <c r="J47" s="31"/>
      <c r="K47" s="32"/>
      <c r="L47" s="29"/>
      <c r="M47" s="29"/>
    </row>
    <row r="48" customFormat="false" ht="15" hidden="false" customHeight="false" outlineLevel="0" collapsed="false">
      <c r="B48" s="26"/>
      <c r="C48" s="29"/>
      <c r="D48" s="25"/>
      <c r="E48" s="25"/>
      <c r="F48" s="25"/>
      <c r="G48" s="25"/>
      <c r="H48" s="25"/>
      <c r="I48" s="31"/>
      <c r="J48" s="31"/>
      <c r="K48" s="32"/>
      <c r="L48" s="29"/>
      <c r="M48" s="29"/>
    </row>
    <row r="49" customFormat="false" ht="15" hidden="false" customHeight="false" outlineLevel="0" collapsed="false">
      <c r="B49" s="26"/>
      <c r="C49" s="29"/>
      <c r="D49" s="25"/>
      <c r="E49" s="25"/>
      <c r="F49" s="25"/>
      <c r="G49" s="25"/>
      <c r="H49" s="25"/>
      <c r="I49" s="31"/>
      <c r="J49" s="31"/>
      <c r="K49" s="32"/>
      <c r="L49" s="29"/>
      <c r="M49" s="29"/>
    </row>
    <row r="50" customFormat="false" ht="15" hidden="false" customHeight="false" outlineLevel="0" collapsed="false">
      <c r="B50" s="26"/>
      <c r="C50" s="29"/>
      <c r="D50" s="25"/>
      <c r="E50" s="25"/>
      <c r="F50" s="25"/>
      <c r="G50" s="25"/>
      <c r="H50" s="25"/>
      <c r="I50" s="31"/>
      <c r="J50" s="31"/>
      <c r="K50" s="32"/>
      <c r="L50" s="29"/>
      <c r="M50" s="29"/>
    </row>
    <row r="51" customFormat="false" ht="15" hidden="false" customHeight="false" outlineLevel="0" collapsed="false">
      <c r="B51" s="26"/>
      <c r="C51" s="29"/>
      <c r="D51" s="25"/>
      <c r="E51" s="25"/>
      <c r="F51" s="25"/>
      <c r="G51" s="25"/>
      <c r="H51" s="25"/>
      <c r="I51" s="31"/>
      <c r="J51" s="31"/>
      <c r="K51" s="32"/>
      <c r="L51" s="29"/>
      <c r="M51" s="29"/>
    </row>
    <row r="52" customFormat="false" ht="15" hidden="false" customHeight="false" outlineLevel="0" collapsed="false">
      <c r="B52" s="26"/>
      <c r="C52" s="29"/>
      <c r="D52" s="25"/>
      <c r="E52" s="25"/>
      <c r="F52" s="25"/>
      <c r="G52" s="25"/>
      <c r="H52" s="25"/>
      <c r="I52" s="31"/>
      <c r="J52" s="31"/>
      <c r="K52" s="32"/>
      <c r="L52" s="29"/>
      <c r="M52" s="29"/>
    </row>
    <row r="53" customFormat="false" ht="15" hidden="false" customHeight="false" outlineLevel="0" collapsed="false">
      <c r="B53" s="26"/>
      <c r="C53" s="29"/>
      <c r="D53" s="25"/>
      <c r="E53" s="25"/>
      <c r="F53" s="25"/>
      <c r="G53" s="25"/>
      <c r="H53" s="25"/>
      <c r="I53" s="31"/>
      <c r="J53" s="31"/>
      <c r="K53" s="32"/>
      <c r="L53" s="29"/>
      <c r="M53" s="29"/>
    </row>
    <row r="54" customFormat="false" ht="15" hidden="false" customHeight="false" outlineLevel="0" collapsed="false">
      <c r="B54" s="26"/>
      <c r="C54" s="29"/>
      <c r="D54" s="25"/>
      <c r="E54" s="25"/>
      <c r="F54" s="25"/>
      <c r="G54" s="25"/>
      <c r="H54" s="25"/>
      <c r="I54" s="31"/>
      <c r="J54" s="31"/>
      <c r="K54" s="32"/>
      <c r="L54" s="29"/>
      <c r="M54" s="29"/>
    </row>
    <row r="55" customFormat="false" ht="15" hidden="false" customHeight="false" outlineLevel="0" collapsed="false">
      <c r="B55" s="26"/>
      <c r="C55" s="29"/>
      <c r="D55" s="25"/>
      <c r="E55" s="25"/>
      <c r="F55" s="25"/>
      <c r="G55" s="25"/>
      <c r="H55" s="25"/>
      <c r="I55" s="31"/>
      <c r="J55" s="31"/>
      <c r="K55" s="32"/>
      <c r="L55" s="29"/>
      <c r="M55" s="29"/>
    </row>
    <row r="56" customFormat="false" ht="15" hidden="false" customHeight="false" outlineLevel="0" collapsed="false">
      <c r="B56" s="26"/>
      <c r="C56" s="29"/>
      <c r="D56" s="25"/>
      <c r="E56" s="25"/>
      <c r="F56" s="25"/>
      <c r="G56" s="25"/>
      <c r="H56" s="25"/>
      <c r="I56" s="31"/>
      <c r="J56" s="31"/>
      <c r="K56" s="32"/>
      <c r="L56" s="29"/>
      <c r="M56" s="29"/>
    </row>
    <row r="57" customFormat="false" ht="15" hidden="false" customHeight="false" outlineLevel="0" collapsed="false">
      <c r="B57" s="26"/>
      <c r="C57" s="29"/>
      <c r="D57" s="25"/>
      <c r="E57" s="25"/>
      <c r="F57" s="25"/>
      <c r="G57" s="25"/>
      <c r="H57" s="25"/>
      <c r="I57" s="31"/>
      <c r="J57" s="31"/>
      <c r="K57" s="32"/>
      <c r="L57" s="29"/>
      <c r="M57" s="29"/>
    </row>
    <row r="58" customFormat="false" ht="15" hidden="false" customHeight="false" outlineLevel="0" collapsed="false">
      <c r="B58" s="26"/>
      <c r="C58" s="29"/>
      <c r="D58" s="25"/>
      <c r="E58" s="25"/>
      <c r="F58" s="25"/>
      <c r="G58" s="25"/>
      <c r="H58" s="25"/>
      <c r="I58" s="31"/>
      <c r="J58" s="31"/>
      <c r="K58" s="32"/>
      <c r="L58" s="29"/>
      <c r="M58" s="29"/>
    </row>
    <row r="59" customFormat="false" ht="15" hidden="false" customHeight="false" outlineLevel="0" collapsed="false">
      <c r="B59" s="26"/>
      <c r="C59" s="29"/>
      <c r="D59" s="25"/>
      <c r="E59" s="25"/>
      <c r="F59" s="25"/>
      <c r="G59" s="25"/>
      <c r="H59" s="25"/>
      <c r="I59" s="31"/>
      <c r="J59" s="31"/>
      <c r="K59" s="32"/>
      <c r="L59" s="29"/>
      <c r="M59" s="29"/>
    </row>
    <row r="60" customFormat="false" ht="15" hidden="false" customHeight="false" outlineLevel="0" collapsed="false">
      <c r="B60" s="26"/>
      <c r="C60" s="29"/>
      <c r="D60" s="25"/>
      <c r="E60" s="25"/>
      <c r="F60" s="25"/>
      <c r="G60" s="25"/>
      <c r="H60" s="25"/>
      <c r="I60" s="31"/>
      <c r="J60" s="31"/>
      <c r="K60" s="32"/>
      <c r="L60" s="29"/>
      <c r="M60" s="29"/>
    </row>
    <row r="61" customFormat="false" ht="15" hidden="false" customHeight="false" outlineLevel="0" collapsed="false">
      <c r="B61" s="26"/>
      <c r="C61" s="29"/>
      <c r="D61" s="25"/>
      <c r="E61" s="25"/>
      <c r="F61" s="25"/>
      <c r="G61" s="25"/>
      <c r="H61" s="25"/>
      <c r="I61" s="31"/>
      <c r="J61" s="31"/>
      <c r="K61" s="32"/>
      <c r="L61" s="29"/>
      <c r="M61" s="29"/>
    </row>
    <row r="62" customFormat="false" ht="15" hidden="false" customHeight="false" outlineLevel="0" collapsed="false">
      <c r="B62" s="26"/>
      <c r="C62" s="29"/>
      <c r="D62" s="25"/>
      <c r="E62" s="25"/>
      <c r="F62" s="25"/>
      <c r="G62" s="25"/>
      <c r="H62" s="25"/>
      <c r="I62" s="31"/>
      <c r="J62" s="31"/>
      <c r="K62" s="32"/>
      <c r="L62" s="29"/>
      <c r="M62" s="29"/>
    </row>
    <row r="63" customFormat="false" ht="15" hidden="false" customHeight="false" outlineLevel="0" collapsed="false">
      <c r="B63" s="26"/>
      <c r="C63" s="29"/>
      <c r="D63" s="25"/>
      <c r="E63" s="25"/>
      <c r="F63" s="25"/>
      <c r="G63" s="25"/>
      <c r="H63" s="25"/>
      <c r="I63" s="31"/>
      <c r="J63" s="31"/>
      <c r="K63" s="32"/>
      <c r="L63" s="29"/>
      <c r="M63" s="29"/>
    </row>
    <row r="64" customFormat="false" ht="15" hidden="false" customHeight="false" outlineLevel="0" collapsed="false">
      <c r="B64" s="26"/>
      <c r="C64" s="29"/>
      <c r="D64" s="25"/>
      <c r="E64" s="25"/>
      <c r="F64" s="25"/>
      <c r="G64" s="25"/>
      <c r="H64" s="25"/>
      <c r="I64" s="31"/>
      <c r="J64" s="31"/>
      <c r="K64" s="32"/>
      <c r="L64" s="29"/>
      <c r="M64" s="29"/>
    </row>
    <row r="65" customFormat="false" ht="15" hidden="false" customHeight="false" outlineLevel="0" collapsed="false">
      <c r="B65" s="26"/>
      <c r="C65" s="29"/>
      <c r="D65" s="25"/>
      <c r="E65" s="25"/>
      <c r="F65" s="25"/>
      <c r="G65" s="25"/>
      <c r="H65" s="25"/>
      <c r="I65" s="31"/>
      <c r="J65" s="31"/>
      <c r="K65" s="32"/>
      <c r="L65" s="29"/>
      <c r="M65" s="29"/>
    </row>
    <row r="66" customFormat="false" ht="15" hidden="false" customHeight="false" outlineLevel="0" collapsed="false">
      <c r="B66" s="26"/>
      <c r="C66" s="29"/>
      <c r="D66" s="25"/>
      <c r="E66" s="25"/>
      <c r="F66" s="25"/>
      <c r="G66" s="25"/>
      <c r="H66" s="25"/>
      <c r="I66" s="31"/>
      <c r="J66" s="31"/>
      <c r="K66" s="32"/>
      <c r="L66" s="29"/>
      <c r="M66" s="29"/>
    </row>
    <row r="67" customFormat="false" ht="15" hidden="false" customHeight="false" outlineLevel="0" collapsed="false">
      <c r="B67" s="26"/>
      <c r="C67" s="29"/>
      <c r="D67" s="25"/>
      <c r="E67" s="25"/>
      <c r="F67" s="25"/>
      <c r="G67" s="25"/>
      <c r="H67" s="25"/>
      <c r="I67" s="31"/>
      <c r="J67" s="31"/>
      <c r="K67" s="32"/>
      <c r="L67" s="29"/>
      <c r="M67" s="29"/>
    </row>
    <row r="68" customFormat="false" ht="15" hidden="false" customHeight="false" outlineLevel="0" collapsed="false">
      <c r="B68" s="26"/>
      <c r="C68" s="29"/>
      <c r="D68" s="25"/>
      <c r="E68" s="25"/>
      <c r="F68" s="25"/>
      <c r="G68" s="25"/>
      <c r="H68" s="25"/>
      <c r="I68" s="31"/>
      <c r="J68" s="31"/>
      <c r="K68" s="32"/>
      <c r="L68" s="29"/>
      <c r="M68" s="29"/>
    </row>
    <row r="69" customFormat="false" ht="15" hidden="false" customHeight="false" outlineLevel="0" collapsed="false">
      <c r="B69" s="26"/>
      <c r="C69" s="29"/>
      <c r="D69" s="25"/>
      <c r="E69" s="25"/>
      <c r="F69" s="25"/>
      <c r="G69" s="25"/>
      <c r="H69" s="25"/>
      <c r="I69" s="31"/>
      <c r="J69" s="31"/>
      <c r="K69" s="32"/>
      <c r="L69" s="29"/>
      <c r="M69" s="29"/>
    </row>
    <row r="70" customFormat="false" ht="15" hidden="false" customHeight="false" outlineLevel="0" collapsed="false">
      <c r="B70" s="26"/>
      <c r="C70" s="29"/>
      <c r="D70" s="25"/>
      <c r="E70" s="25"/>
      <c r="F70" s="25"/>
      <c r="G70" s="25"/>
      <c r="H70" s="25"/>
      <c r="I70" s="31"/>
      <c r="J70" s="31"/>
      <c r="K70" s="32"/>
      <c r="L70" s="29"/>
      <c r="M70" s="29"/>
    </row>
    <row r="71" customFormat="false" ht="15" hidden="false" customHeight="false" outlineLevel="0" collapsed="false">
      <c r="B71" s="26"/>
      <c r="C71" s="29"/>
      <c r="D71" s="25"/>
      <c r="E71" s="25"/>
      <c r="F71" s="25"/>
      <c r="G71" s="25"/>
      <c r="H71" s="25"/>
      <c r="I71" s="31"/>
      <c r="J71" s="31"/>
      <c r="K71" s="32"/>
      <c r="L71" s="29"/>
      <c r="M71" s="29"/>
    </row>
    <row r="72" customFormat="false" ht="15" hidden="false" customHeight="false" outlineLevel="0" collapsed="false">
      <c r="B72" s="26"/>
      <c r="C72" s="29"/>
      <c r="D72" s="25"/>
      <c r="E72" s="25"/>
      <c r="F72" s="25"/>
      <c r="G72" s="25"/>
      <c r="H72" s="25"/>
      <c r="I72" s="31"/>
      <c r="J72" s="31"/>
      <c r="K72" s="32"/>
      <c r="L72" s="29"/>
      <c r="M72" s="29"/>
    </row>
    <row r="73" customFormat="false" ht="15" hidden="false" customHeight="false" outlineLevel="0" collapsed="false">
      <c r="B73" s="26"/>
      <c r="C73" s="29"/>
      <c r="D73" s="25"/>
      <c r="E73" s="25"/>
      <c r="F73" s="25"/>
      <c r="G73" s="25"/>
      <c r="H73" s="25"/>
      <c r="I73" s="31"/>
      <c r="J73" s="31"/>
      <c r="K73" s="32"/>
      <c r="L73" s="29"/>
      <c r="M73" s="29"/>
    </row>
    <row r="74" customFormat="false" ht="15" hidden="false" customHeight="false" outlineLevel="0" collapsed="false">
      <c r="B74" s="26"/>
      <c r="C74" s="29"/>
      <c r="D74" s="25"/>
      <c r="E74" s="25"/>
      <c r="F74" s="25"/>
      <c r="G74" s="25"/>
      <c r="H74" s="25"/>
      <c r="I74" s="31"/>
      <c r="J74" s="31"/>
      <c r="K74" s="32"/>
      <c r="L74" s="29"/>
      <c r="M74" s="29"/>
    </row>
    <row r="75" customFormat="false" ht="15" hidden="false" customHeight="false" outlineLevel="0" collapsed="false">
      <c r="B75" s="26"/>
      <c r="C75" s="29"/>
      <c r="D75" s="25"/>
      <c r="E75" s="25"/>
      <c r="F75" s="25"/>
      <c r="G75" s="25"/>
      <c r="H75" s="25"/>
      <c r="I75" s="31"/>
      <c r="J75" s="31"/>
      <c r="K75" s="32"/>
      <c r="L75" s="29"/>
      <c r="M75" s="29"/>
    </row>
    <row r="76" customFormat="false" ht="15" hidden="false" customHeight="false" outlineLevel="0" collapsed="false">
      <c r="B76" s="26"/>
      <c r="C76" s="29"/>
      <c r="D76" s="25"/>
      <c r="E76" s="25"/>
      <c r="F76" s="25"/>
      <c r="G76" s="25"/>
      <c r="H76" s="25"/>
      <c r="I76" s="31"/>
      <c r="J76" s="31"/>
      <c r="K76" s="32"/>
      <c r="L76" s="29"/>
      <c r="M76" s="29"/>
    </row>
    <row r="77" customFormat="false" ht="15" hidden="false" customHeight="false" outlineLevel="0" collapsed="false">
      <c r="B77" s="26"/>
      <c r="C77" s="29"/>
      <c r="D77" s="25"/>
      <c r="E77" s="25"/>
      <c r="F77" s="25"/>
      <c r="G77" s="25"/>
      <c r="H77" s="25"/>
      <c r="I77" s="31"/>
      <c r="J77" s="31"/>
      <c r="K77" s="32"/>
      <c r="L77" s="29"/>
      <c r="M77" s="29"/>
    </row>
    <row r="78" customFormat="false" ht="15" hidden="false" customHeight="false" outlineLevel="0" collapsed="false">
      <c r="B78" s="26"/>
      <c r="C78" s="29"/>
      <c r="D78" s="25"/>
      <c r="E78" s="25"/>
      <c r="F78" s="25"/>
      <c r="G78" s="25"/>
      <c r="H78" s="25"/>
      <c r="I78" s="31"/>
      <c r="J78" s="31"/>
      <c r="K78" s="32"/>
      <c r="L78" s="29"/>
      <c r="M78" s="29"/>
    </row>
    <row r="79" customFormat="false" ht="15" hidden="false" customHeight="false" outlineLevel="0" collapsed="false">
      <c r="B79" s="26"/>
      <c r="C79" s="29"/>
      <c r="D79" s="25"/>
      <c r="E79" s="25"/>
      <c r="F79" s="25"/>
      <c r="G79" s="25"/>
      <c r="H79" s="25"/>
      <c r="I79" s="31"/>
      <c r="J79" s="31"/>
      <c r="K79" s="32"/>
      <c r="L79" s="29"/>
      <c r="M79" s="29"/>
    </row>
    <row r="80" customFormat="false" ht="15" hidden="false" customHeight="false" outlineLevel="0" collapsed="false">
      <c r="B80" s="26"/>
      <c r="C80" s="29"/>
      <c r="D80" s="25"/>
      <c r="E80" s="25"/>
      <c r="F80" s="25"/>
      <c r="G80" s="25"/>
      <c r="H80" s="25"/>
      <c r="I80" s="31"/>
      <c r="J80" s="31"/>
      <c r="K80" s="32"/>
      <c r="L80" s="29"/>
      <c r="M80" s="29"/>
    </row>
  </sheetData>
  <autoFilter ref="B5:M80"/>
  <mergeCells count="2">
    <mergeCell ref="B2:M2"/>
    <mergeCell ref="B3:M3"/>
  </mergeCells>
  <conditionalFormatting sqref="H6:H80">
    <cfRule type="cellIs" priority="2" operator="equal" aboveAverage="0" equalAverage="0" bottom="0" percent="0" rank="0" text="" dxfId="0">
      <formula>"Concluído"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"Atrasado"</formula>
    </cfRule>
    <cfRule type="cellIs" priority="5" operator="equal" aboveAverage="0" equalAverage="0" bottom="0" percent="0" rank="0" text="" dxfId="3">
      <formula>"Não iniciado"</formula>
    </cfRule>
    <cfRule type="cellIs" priority="6" operator="equal" aboveAverage="0" equalAverage="0" bottom="0" percent="0" rank="0" text="" dxfId="4">
      <formula>"Bloqueado"</formula>
    </cfRule>
  </conditionalFormatting>
  <conditionalFormatting sqref="J6:J80">
    <cfRule type="expression" priority="7" aboveAverage="0" equalAverage="0" bottom="0" percent="0" rank="0" text="" dxfId="20">
      <formula>AND($J6&lt;TODAY(),$K6&lt;100,$J6&lt;&gt;"")</formula>
    </cfRule>
  </conditionalFormatting>
  <conditionalFormatting sqref="K6:K80">
    <cfRule type="colorScale" priority="8">
      <colorScale>
        <cfvo type="num" val="0"/>
        <cfvo type="num" val="50"/>
        <cfvo type="num" val="100"/>
        <color rgb="FFF8CBAD"/>
        <color rgb="FFFFD966"/>
        <color rgb="FFA9D08E"/>
      </colorScale>
    </cfRule>
  </conditionalFormatting>
  <conditionalFormatting sqref="G6:G80">
    <cfRule type="cellIs" priority="9" operator="equal" aboveAverage="0" equalAverage="0" bottom="0" percent="0" rank="0" text="" dxfId="2">
      <formula>"Alta"</formula>
    </cfRule>
    <cfRule type="cellIs" priority="10" operator="equal" aboveAverage="0" equalAverage="0" bottom="0" percent="0" rank="0" text="" dxfId="1">
      <formula>"Média"</formula>
    </cfRule>
    <cfRule type="cellIs" priority="11" operator="equal" aboveAverage="0" equalAverage="0" bottom="0" percent="0" rank="0" text="" dxfId="0">
      <formula>"Baixa"</formula>
    </cfRule>
  </conditionalFormatting>
  <dataValidations count="5">
    <dataValidation allowBlank="true" errorStyle="stop" operator="between" showDropDown="false" showErrorMessage="false" showInputMessage="false" sqref="D6:D80" type="list">
      <formula1>lista_Pilar</formula1>
      <formula2>0</formula2>
    </dataValidation>
    <dataValidation allowBlank="true" errorStyle="stop" operator="between" showDropDown="false" showErrorMessage="false" showInputMessage="false" sqref="E6:E80" type="list">
      <formula1>lista_AreaCliente</formula1>
      <formula2>0</formula2>
    </dataValidation>
    <dataValidation allowBlank="true" errorStyle="stop" operator="between" showDropDown="false" showErrorMessage="false" showInputMessage="false" sqref="F6:F80" type="list">
      <formula1>lista_Responsavel</formula1>
      <formula2>0</formula2>
    </dataValidation>
    <dataValidation allowBlank="true" errorStyle="stop" operator="between" showDropDown="false" showErrorMessage="false" showInputMessage="false" sqref="G6:G80" type="list">
      <formula1>lista_Prioridade</formula1>
      <formula2>0</formula2>
    </dataValidation>
    <dataValidation allowBlank="true" errorStyle="stop" operator="between" showDropDown="false" showErrorMessage="false" showInputMessage="false" sqref="H6:H80" type="list">
      <formula1>lista_Status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8" min="2" style="0" width="20"/>
    <col collapsed="false" customWidth="true" hidden="false" outlineLevel="0" max="9" min="9" style="0" width="2"/>
  </cols>
  <sheetData>
    <row r="2" customFormat="false" ht="39.75" hidden="false" customHeight="true" outlineLevel="0" collapsed="false">
      <c r="B2" s="9" t="s">
        <v>121</v>
      </c>
      <c r="C2" s="9"/>
      <c r="D2" s="9"/>
      <c r="E2" s="9"/>
      <c r="F2" s="9"/>
      <c r="G2" s="9"/>
      <c r="H2" s="9"/>
    </row>
    <row r="3" customFormat="false" ht="25.5" hidden="false" customHeight="true" outlineLevel="0" collapsed="false">
      <c r="B3" s="30" t="s">
        <v>122</v>
      </c>
      <c r="C3" s="30"/>
      <c r="D3" s="30"/>
      <c r="E3" s="30"/>
      <c r="F3" s="30"/>
      <c r="G3" s="30"/>
      <c r="H3" s="30"/>
    </row>
    <row r="5" customFormat="false" ht="24" hidden="false" customHeight="true" outlineLevel="0" collapsed="false">
      <c r="B5" s="33" t="s">
        <v>123</v>
      </c>
      <c r="C5" s="33"/>
      <c r="D5" s="33"/>
      <c r="E5" s="33"/>
      <c r="F5" s="33"/>
      <c r="G5" s="33"/>
      <c r="H5" s="33"/>
    </row>
    <row r="6" customFormat="false" ht="90" hidden="false" customHeight="true" outlineLevel="0" collapsed="false">
      <c r="B6" s="34" t="s">
        <v>124</v>
      </c>
      <c r="C6" s="34"/>
      <c r="D6" s="34"/>
      <c r="E6" s="34"/>
      <c r="F6" s="34"/>
      <c r="G6" s="34"/>
      <c r="H6" s="34"/>
    </row>
    <row r="8" customFormat="false" ht="24" hidden="false" customHeight="true" outlineLevel="0" collapsed="false">
      <c r="B8" s="33" t="s">
        <v>125</v>
      </c>
      <c r="C8" s="33"/>
      <c r="D8" s="33"/>
      <c r="E8" s="33"/>
      <c r="F8" s="33"/>
      <c r="G8" s="33"/>
      <c r="H8" s="33"/>
    </row>
    <row r="9" customFormat="false" ht="90" hidden="false" customHeight="true" outlineLevel="0" collapsed="false">
      <c r="B9" s="34" t="s">
        <v>126</v>
      </c>
      <c r="C9" s="34"/>
      <c r="D9" s="34"/>
      <c r="E9" s="34"/>
      <c r="F9" s="34"/>
      <c r="G9" s="34"/>
      <c r="H9" s="34"/>
    </row>
    <row r="11" customFormat="false" ht="24" hidden="false" customHeight="true" outlineLevel="0" collapsed="false">
      <c r="B11" s="33" t="s">
        <v>127</v>
      </c>
      <c r="C11" s="33"/>
      <c r="D11" s="33"/>
      <c r="E11" s="33"/>
      <c r="F11" s="33"/>
      <c r="G11" s="33"/>
      <c r="H11" s="33"/>
    </row>
    <row r="12" customFormat="false" ht="90" hidden="false" customHeight="true" outlineLevel="0" collapsed="false">
      <c r="B12" s="34" t="s">
        <v>128</v>
      </c>
      <c r="C12" s="34"/>
      <c r="D12" s="34"/>
      <c r="E12" s="34"/>
      <c r="F12" s="34"/>
      <c r="G12" s="34"/>
      <c r="H12" s="34"/>
    </row>
    <row r="14" customFormat="false" ht="24" hidden="false" customHeight="true" outlineLevel="0" collapsed="false">
      <c r="B14" s="33" t="s">
        <v>129</v>
      </c>
      <c r="C14" s="33"/>
      <c r="D14" s="33"/>
      <c r="E14" s="33"/>
      <c r="F14" s="33"/>
      <c r="G14" s="33"/>
      <c r="H14" s="33"/>
    </row>
    <row r="15" customFormat="false" ht="90" hidden="false" customHeight="true" outlineLevel="0" collapsed="false">
      <c r="B15" s="34" t="s">
        <v>130</v>
      </c>
      <c r="C15" s="34"/>
      <c r="D15" s="34"/>
      <c r="E15" s="34"/>
      <c r="F15" s="34"/>
      <c r="G15" s="34"/>
      <c r="H15" s="34"/>
    </row>
    <row r="17" customFormat="false" ht="24" hidden="false" customHeight="true" outlineLevel="0" collapsed="false">
      <c r="B17" s="33" t="s">
        <v>131</v>
      </c>
      <c r="C17" s="33"/>
      <c r="D17" s="33"/>
      <c r="E17" s="33"/>
      <c r="F17" s="33"/>
      <c r="G17" s="33"/>
      <c r="H17" s="33"/>
    </row>
    <row r="18" customFormat="false" ht="90" hidden="false" customHeight="true" outlineLevel="0" collapsed="false">
      <c r="B18" s="34" t="s">
        <v>132</v>
      </c>
      <c r="C18" s="34"/>
      <c r="D18" s="34"/>
      <c r="E18" s="34"/>
      <c r="F18" s="34"/>
      <c r="G18" s="34"/>
      <c r="H18" s="34"/>
    </row>
    <row r="20" customFormat="false" ht="24" hidden="false" customHeight="true" outlineLevel="0" collapsed="false">
      <c r="B20" s="33" t="s">
        <v>133</v>
      </c>
      <c r="C20" s="33"/>
      <c r="D20" s="33"/>
      <c r="E20" s="33"/>
      <c r="F20" s="33"/>
      <c r="G20" s="33"/>
      <c r="H20" s="33"/>
    </row>
    <row r="21" customFormat="false" ht="90" hidden="false" customHeight="true" outlineLevel="0" collapsed="false">
      <c r="B21" s="34" t="s">
        <v>134</v>
      </c>
      <c r="C21" s="34"/>
      <c r="D21" s="34"/>
      <c r="E21" s="34"/>
      <c r="F21" s="34"/>
      <c r="G21" s="34"/>
      <c r="H21" s="34"/>
    </row>
  </sheetData>
  <mergeCells count="14">
    <mergeCell ref="B2:H2"/>
    <mergeCell ref="B3:H3"/>
    <mergeCell ref="B5:H5"/>
    <mergeCell ref="B6:H6"/>
    <mergeCell ref="B8:H8"/>
    <mergeCell ref="B9:H9"/>
    <mergeCell ref="B11:H11"/>
    <mergeCell ref="B12:H12"/>
    <mergeCell ref="B14:H14"/>
    <mergeCell ref="B15:H15"/>
    <mergeCell ref="B17:H17"/>
    <mergeCell ref="B18:H18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0" width="24"/>
  </cols>
  <sheetData>
    <row r="2" customFormat="false" ht="36" hidden="false" customHeight="true" outlineLevel="0" collapsed="false">
      <c r="B2" s="9" t="s">
        <v>135</v>
      </c>
      <c r="C2" s="9"/>
      <c r="D2" s="9"/>
      <c r="E2" s="9"/>
      <c r="F2" s="9"/>
      <c r="G2" s="9"/>
    </row>
    <row r="4" customFormat="false" ht="15" hidden="false" customHeight="false" outlineLevel="0" collapsed="false">
      <c r="B4" s="24" t="s">
        <v>55</v>
      </c>
      <c r="C4" s="24" t="s">
        <v>81</v>
      </c>
      <c r="D4" s="24" t="s">
        <v>60</v>
      </c>
      <c r="E4" s="24" t="s">
        <v>17</v>
      </c>
      <c r="F4" s="24" t="s">
        <v>80</v>
      </c>
    </row>
    <row r="5" customFormat="false" ht="15" hidden="false" customHeight="false" outlineLevel="0" collapsed="false">
      <c r="B5" s="26" t="s">
        <v>43</v>
      </c>
      <c r="C5" s="26" t="s">
        <v>90</v>
      </c>
      <c r="D5" s="26" t="s">
        <v>61</v>
      </c>
      <c r="E5" s="26" t="s">
        <v>70</v>
      </c>
      <c r="F5" s="26" t="s">
        <v>114</v>
      </c>
    </row>
    <row r="6" customFormat="false" ht="15" hidden="false" customHeight="false" outlineLevel="0" collapsed="false">
      <c r="B6" s="26" t="s">
        <v>41</v>
      </c>
      <c r="C6" s="26" t="s">
        <v>100</v>
      </c>
      <c r="D6" s="26" t="s">
        <v>62</v>
      </c>
      <c r="E6" s="26" t="s">
        <v>71</v>
      </c>
      <c r="F6" s="26" t="s">
        <v>89</v>
      </c>
    </row>
    <row r="7" customFormat="false" ht="15" hidden="false" customHeight="false" outlineLevel="0" collapsed="false">
      <c r="B7" s="26" t="s">
        <v>40</v>
      </c>
      <c r="C7" s="26" t="s">
        <v>136</v>
      </c>
      <c r="D7" s="26" t="s">
        <v>63</v>
      </c>
      <c r="E7" s="26" t="s">
        <v>72</v>
      </c>
      <c r="F7" s="26" t="s">
        <v>137</v>
      </c>
    </row>
    <row r="8" customFormat="false" ht="15" hidden="false" customHeight="false" outlineLevel="0" collapsed="false">
      <c r="B8" s="26" t="s">
        <v>42</v>
      </c>
      <c r="D8" s="26" t="s">
        <v>64</v>
      </c>
      <c r="E8" s="26" t="s">
        <v>73</v>
      </c>
      <c r="F8" s="26" t="s">
        <v>138</v>
      </c>
    </row>
    <row r="9" customFormat="false" ht="15" hidden="false" customHeight="false" outlineLevel="0" collapsed="false">
      <c r="B9" s="26" t="s">
        <v>44</v>
      </c>
      <c r="D9" s="26" t="s">
        <v>65</v>
      </c>
      <c r="E9" s="26" t="s">
        <v>74</v>
      </c>
      <c r="F9" s="26" t="s">
        <v>139</v>
      </c>
    </row>
    <row r="10" customFormat="false" ht="15" hidden="false" customHeight="false" outlineLevel="0" collapsed="false">
      <c r="D10" s="26" t="s">
        <v>66</v>
      </c>
      <c r="E10" s="26" t="s">
        <v>75</v>
      </c>
      <c r="F10" s="26" t="s">
        <v>109</v>
      </c>
    </row>
    <row r="11" customFormat="false" ht="15" hidden="false" customHeight="false" outlineLevel="0" collapsed="false">
      <c r="D11" s="26" t="s">
        <v>67</v>
      </c>
      <c r="F11" s="26" t="s">
        <v>140</v>
      </c>
    </row>
    <row r="12" customFormat="false" ht="15" hidden="false" customHeight="false" outlineLevel="0" collapsed="false">
      <c r="F12" s="26" t="s">
        <v>99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2026-05-21T19:01:40Z</dcterms:created>
  <dc:creator>openpyxl</dc:creator>
  <dc:description/>
  <dc:language>en-US</dc:language>
  <cp:lastModifiedBy/>
  <dcterms:modified xsi:type="dcterms:W3CDTF">2026-05-21T19:01:44Z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